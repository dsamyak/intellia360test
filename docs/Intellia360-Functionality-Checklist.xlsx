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ser Management" sheetId="2" state="visible" r:id="rId2"/>
    <sheet name="Lesson Editor" sheetId="3" state="visible" r:id="rId3"/>
    <sheet name="Student Lesson Page" sheetId="4" state="visible" r:id="rId4"/>
    <sheet name="EduNotes &amp; Videos" sheetId="5" state="visible" r:id="rId5"/>
    <sheet name="Curriculum &amp; Grades" sheetId="6" state="visible" r:id="rId6"/>
    <sheet name="Grades 1-12 Data" sheetId="7" state="visible" r:id="rId7"/>
    <sheet name="Known Issues" sheetId="8" state="visible" r:id="rId8"/>
  </sheets>
  <definedNames>
    <definedName name="_xlnm._FilterDatabase" localSheetId="1" hidden="1">'User Management'!$A$1:$I$10</definedName>
    <definedName name="_xlnm._FilterDatabase" localSheetId="2" hidden="1">'Lesson Editor'!$A$1:$I$13</definedName>
    <definedName name="_xlnm._FilterDatabase" localSheetId="3" hidden="1">'Student Lesson Page'!$A$1:$I$14</definedName>
    <definedName name="_xlnm._FilterDatabase" localSheetId="4" hidden="1">'EduNotes &amp; Videos'!$A$1:$I$11</definedName>
    <definedName name="_xlnm._FilterDatabase" localSheetId="5" hidden="1">'Curriculum &amp; Grades'!$A$1:$I$9</definedName>
    <definedName name="_xlnm._FilterDatabase" localSheetId="7" hidden="1">'Known Issues'!$A$1:$E$11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E3A8A"/>
      <sz val="16"/>
    </font>
    <font>
      <i val="1"/>
      <color rgb="004B5563"/>
    </font>
    <font>
      <b val="1"/>
      <color rgb="00FFFFFF"/>
    </font>
    <font>
      <color rgb="001D4ED8"/>
      <u val="single"/>
    </font>
    <font>
      <b val="1"/>
    </font>
  </fonts>
  <fills count="7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E5E7EB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4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DCFCE7"/>
        </patternFill>
      </fill>
    </dxf>
    <dxf>
      <fill>
        <patternFill patternType="solid">
          <fgColor rgb="00DBEAFE"/>
        </patternFill>
      </fill>
    </dxf>
    <dxf>
      <fill>
        <patternFill patternType="solid">
          <fgColor rgb="00E5E7EB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9" customWidth="1" min="3" max="3"/>
    <col width="9" customWidth="1" min="4" max="4"/>
    <col width="16" customWidth="1" min="5" max="5"/>
    <col width="12" customWidth="1" min="6" max="6"/>
    <col width="17" customWidth="1" min="7" max="7"/>
  </cols>
  <sheetData>
    <row r="1">
      <c r="A1" s="1" t="inlineStr">
        <is>
          <t>Intellia360 — Functionality Checklist</t>
        </is>
      </c>
    </row>
    <row r="2">
      <c r="A2" s="2" t="inlineStr">
        <is>
          <t>Features built or fixed on branch feature/authentication. Last verified 15 Sep 2026 on a local dev server (Windows).</t>
        </is>
      </c>
    </row>
    <row r="4">
      <c r="A4" s="3" t="inlineStr">
        <is>
          <t>Area (sheet)</t>
        </is>
      </c>
      <c r="B4" s="3" t="inlineStr">
        <is>
          <t>What it covers</t>
        </is>
      </c>
      <c r="C4" s="3" t="inlineStr">
        <is>
          <t>Checks</t>
        </is>
      </c>
      <c r="D4" s="3" t="inlineStr">
        <is>
          <t>Pass</t>
        </is>
      </c>
      <c r="E4" s="3" t="inlineStr">
        <is>
          <t>Verified in code</t>
        </is>
      </c>
      <c r="F4" s="3" t="inlineStr">
        <is>
          <t>Not tested</t>
        </is>
      </c>
      <c r="G4" s="3" t="inlineStr">
        <is>
          <t>Known limitation</t>
        </is>
      </c>
    </row>
    <row r="5">
      <c r="A5" s="4">
        <f>HYPERLINK("#'User Management'!A1","User Management")</f>
        <v/>
      </c>
      <c r="B5" s="5" t="inlineStr">
        <is>
          <t>Admin-only user and role management; Users removed from the Editor</t>
        </is>
      </c>
      <c r="C5" s="5">
        <f>COUNTA('User Management'!A:A)-1</f>
        <v/>
      </c>
      <c r="D5" s="5">
        <f>COUNTIF('User Management'!G:G,"Pass")</f>
        <v/>
      </c>
      <c r="E5" s="5">
        <f>COUNTIF('User Management'!G:G,"Verified in code")</f>
        <v/>
      </c>
      <c r="F5" s="5">
        <f>COUNTIF('User Management'!G:G,"Not tested")</f>
        <v/>
      </c>
      <c r="G5" s="5">
        <f>COUNTIF('User Management'!G:G,"Known limitation")</f>
        <v/>
      </c>
    </row>
    <row r="6">
      <c r="A6" s="4">
        <f>HYPERLINK("#'Lesson Editor'!A1","Lesson Editor")</f>
        <v/>
      </c>
      <c r="B6" s="5" t="inlineStr">
        <is>
          <t>Lesson module links, validation and saving (local and read-only server)</t>
        </is>
      </c>
      <c r="C6" s="5">
        <f>COUNTA('Lesson Editor'!A:A)-1</f>
        <v/>
      </c>
      <c r="D6" s="5">
        <f>COUNTIF('Lesson Editor'!G:G,"Pass")</f>
        <v/>
      </c>
      <c r="E6" s="5">
        <f>COUNTIF('Lesson Editor'!G:G,"Verified in code")</f>
        <v/>
      </c>
      <c r="F6" s="5">
        <f>COUNTIF('Lesson Editor'!G:G,"Not tested")</f>
        <v/>
      </c>
      <c r="G6" s="5">
        <f>COUNTIF('Lesson Editor'!G:G,"Known limitation")</f>
        <v/>
      </c>
    </row>
    <row r="7">
      <c r="A7" s="4">
        <f>HYPERLINK("#'Student Lesson Page'!A1","Student Lesson Page")</f>
        <v/>
      </c>
      <c r="B7" s="5" t="inlineStr">
        <is>
          <t>Architecture / Videos / EduNotes inside /student/lesson/[id]</t>
        </is>
      </c>
      <c r="C7" s="5">
        <f>COUNTA('Student Lesson Page'!A:A)-1</f>
        <v/>
      </c>
      <c r="D7" s="5">
        <f>COUNTIF('Student Lesson Page'!G:G,"Pass")</f>
        <v/>
      </c>
      <c r="E7" s="5">
        <f>COUNTIF('Student Lesson Page'!G:G,"Verified in code")</f>
        <v/>
      </c>
      <c r="F7" s="5">
        <f>COUNTIF('Student Lesson Page'!G:G,"Not tested")</f>
        <v/>
      </c>
      <c r="G7" s="5">
        <f>COUNTIF('Student Lesson Page'!G:G,"Known limitation")</f>
        <v/>
      </c>
    </row>
    <row r="8">
      <c r="A8" s="4">
        <f>HYPERLINK("#'EduNotes &amp; Videos'!A1","EduNotes &amp; Videos")</f>
        <v/>
      </c>
      <c r="B8" s="5" t="inlineStr">
        <is>
          <t>EduNotes PDFs and lesson videos</t>
        </is>
      </c>
      <c r="C8" s="5">
        <f>COUNTA('EduNotes &amp; Videos'!A:A)-1</f>
        <v/>
      </c>
      <c r="D8" s="5">
        <f>COUNTIF('EduNotes &amp; Videos'!G:G,"Pass")</f>
        <v/>
      </c>
      <c r="E8" s="5">
        <f>COUNTIF('EduNotes &amp; Videos'!G:G,"Verified in code")</f>
        <v/>
      </c>
      <c r="F8" s="5">
        <f>COUNTIF('EduNotes &amp; Videos'!G:G,"Not tested")</f>
        <v/>
      </c>
      <c r="G8" s="5">
        <f>COUNTIF('EduNotes &amp; Videos'!G:G,"Known limitation")</f>
        <v/>
      </c>
    </row>
    <row r="9">
      <c r="A9" s="4">
        <f>HYPERLINK("#'Curriculum &amp; Grades'!A1","Curriculum &amp; Grades")</f>
        <v/>
      </c>
      <c r="B9" s="5" t="inlineStr">
        <is>
          <t>Curriculum and Grades editors, including read-only server support</t>
        </is>
      </c>
      <c r="C9" s="5">
        <f>COUNTA('Curriculum &amp; Grades'!A:A)-1</f>
        <v/>
      </c>
      <c r="D9" s="5">
        <f>COUNTIF('Curriculum &amp; Grades'!G:G,"Pass")</f>
        <v/>
      </c>
      <c r="E9" s="5">
        <f>COUNTIF('Curriculum &amp; Grades'!G:G,"Verified in code")</f>
        <v/>
      </c>
      <c r="F9" s="5">
        <f>COUNTIF('Curriculum &amp; Grades'!G:G,"Not tested")</f>
        <v/>
      </c>
      <c r="G9" s="5">
        <f>COUNTIF('Curriculum &amp; Grades'!G:G,"Known limitation")</f>
        <v/>
      </c>
    </row>
    <row r="10">
      <c r="A10" s="6" t="inlineStr">
        <is>
          <t>Total</t>
        </is>
      </c>
      <c r="B10" s="7" t="n"/>
      <c r="C10" s="6">
        <f>SUM(C5:C9)</f>
        <v/>
      </c>
      <c r="D10" s="6">
        <f>SUM(D5:D9)</f>
        <v/>
      </c>
      <c r="E10" s="6">
        <f>SUM(E5:E9)</f>
        <v/>
      </c>
      <c r="F10" s="6">
        <f>SUM(F5:F9)</f>
        <v/>
      </c>
      <c r="G10" s="6">
        <f>SUM(G5:G9)</f>
        <v/>
      </c>
    </row>
    <row r="12">
      <c r="A12" s="8" t="inlineStr">
        <is>
          <t>Result legend</t>
        </is>
      </c>
    </row>
    <row r="13">
      <c r="A13" s="9" t="inlineStr">
        <is>
          <t>Pass</t>
        </is>
      </c>
      <c r="B13" s="7" t="inlineStr">
        <is>
          <t>Tested in this session (browser, API call or script) and worked.</t>
        </is>
      </c>
    </row>
    <row r="14">
      <c r="A14" s="10" t="inlineStr">
        <is>
          <t>Verified in code</t>
        </is>
      </c>
      <c r="B14" s="7" t="inlineStr">
        <is>
          <t>Implemented and type-checked/linted, but not exercised end-to-end.</t>
        </is>
      </c>
    </row>
    <row r="15">
      <c r="A15" s="11" t="inlineStr">
        <is>
          <t>Not tested</t>
        </is>
      </c>
      <c r="B15" s="7" t="inlineStr">
        <is>
          <t>No verification yet.</t>
        </is>
      </c>
    </row>
    <row r="16">
      <c r="A16" s="12" t="inlineStr">
        <is>
          <t>Known limitation</t>
        </is>
      </c>
      <c r="B16" s="7" t="inlineStr">
        <is>
          <t>Works, with a documented limit or external constraint.</t>
        </is>
      </c>
    </row>
    <row r="18">
      <c r="A18" s="8" t="inlineStr">
        <is>
          <t>See also</t>
        </is>
      </c>
    </row>
    <row r="19">
      <c r="A19" s="13">
        <f>HYPERLINK("#'Grades 1-12 Data'!A1","Grades 1-12 Data")</f>
        <v/>
      </c>
      <c r="B19" t="inlineStr">
        <is>
          <t>Per-grade lesson data resolution results</t>
        </is>
      </c>
    </row>
    <row r="20">
      <c r="A20" s="13">
        <f>HYPERLINK("#'Known Issues'!A1","Known Issues")</f>
        <v/>
      </c>
      <c r="B20" t="inlineStr">
        <is>
          <t>Open issues and suggested next steps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13" customWidth="1" min="3" max="3"/>
    <col width="46" customWidth="1" min="4" max="4"/>
    <col width="40" customWidth="1" min="5" max="5"/>
    <col width="24" customWidth="1" min="6" max="6"/>
    <col width="17" customWidth="1" min="7" max="7"/>
    <col width="52" customWidth="1" min="8" max="8"/>
    <col width="38" customWidth="1" min="9" max="9"/>
  </cols>
  <sheetData>
    <row r="1">
      <c r="A1" s="3" t="inlineStr">
        <is>
          <t>ID</t>
        </is>
      </c>
      <c r="B1" s="3" t="inlineStr">
        <is>
          <t>Functionality</t>
        </is>
      </c>
      <c r="C1" s="3" t="inlineStr">
        <is>
          <t>Who uses it</t>
        </is>
      </c>
      <c r="D1" s="3" t="inlineStr">
        <is>
          <t>How to use / steps</t>
        </is>
      </c>
      <c r="E1" s="3" t="inlineStr">
        <is>
          <t>Expected result</t>
        </is>
      </c>
      <c r="F1" s="3" t="inlineStr">
        <is>
          <t>Test method</t>
        </is>
      </c>
      <c r="G1" s="3" t="inlineStr">
        <is>
          <t>Result</t>
        </is>
      </c>
      <c r="H1" s="3" t="inlineStr">
        <is>
          <t>Evidence / notes</t>
        </is>
      </c>
      <c r="I1" s="3" t="inlineStr">
        <is>
          <t>Key files</t>
        </is>
      </c>
    </row>
    <row r="2">
      <c r="A2" s="5" t="inlineStr">
        <is>
          <t>UM-01</t>
        </is>
      </c>
      <c r="B2" s="5" t="inlineStr">
        <is>
          <t>Users page removed from the Editor console</t>
        </is>
      </c>
      <c r="C2" s="5" t="inlineStr">
        <is>
          <t>Editor</t>
        </is>
      </c>
      <c r="D2" s="5" t="inlineStr">
        <is>
          <t>Log in as an Editor and open the sidebar and dashboard.</t>
        </is>
      </c>
      <c r="E2" s="5" t="inlineStr">
        <is>
          <t>No Users link, no user count, no 'Users by Role' panel; Editor sees content tools only.</t>
        </is>
      </c>
      <c r="F2" s="5" t="inlineStr">
        <is>
          <t>Code review + type check</t>
        </is>
      </c>
      <c r="G2" s="5" t="inlineStr">
        <is>
          <t>Verified in code</t>
        </is>
      </c>
      <c r="H2" s="5" t="inlineStr">
        <is>
          <t>Page, nav link, dashboard widgets and user stats removed. Not clicked through in a browser.</t>
        </is>
      </c>
      <c r="I2" s="5" t="inlineStr">
        <is>
          <t>src/app/editor/layout.tsx; src/app/editor/dashboard/page.tsx; src/app/api/editor/stats/route.ts</t>
        </is>
      </c>
    </row>
    <row r="3">
      <c r="A3" s="5" t="inlineStr">
        <is>
          <t>UM-02</t>
        </is>
      </c>
      <c r="B3" s="5" t="inlineStr">
        <is>
          <t>Editor user APIs removed</t>
        </is>
      </c>
      <c r="C3" s="5" t="inlineStr">
        <is>
          <t>Editor</t>
        </is>
      </c>
      <c r="D3" s="5" t="inlineStr">
        <is>
          <t>Call GET/POST /api/editor/users or PATCH/DELETE /api/editor/users/[id].</t>
        </is>
      </c>
      <c r="E3" s="5" t="inlineStr">
        <is>
          <t>Routes no longer exist (404). Editors can no longer create ADMIN accounts.</t>
        </is>
      </c>
      <c r="F3" s="5" t="inlineStr">
        <is>
          <t>Code review</t>
        </is>
      </c>
      <c r="G3" s="5" t="inlineStr">
        <is>
          <t>Verified in code</t>
        </is>
      </c>
      <c r="H3" s="5" t="inlineStr">
        <is>
          <t>Route files deleted.</t>
        </is>
      </c>
      <c r="I3" s="5" t="inlineStr">
        <is>
          <t>src/app/api/editor/users/** (deleted)</t>
        </is>
      </c>
    </row>
    <row r="4">
      <c r="A4" s="5" t="inlineStr">
        <is>
          <t>UM-03</t>
        </is>
      </c>
      <c r="B4" s="5" t="inlineStr">
        <is>
          <t>Users &amp; Roles page lists every account</t>
        </is>
      </c>
      <c r="C4" s="5" t="inlineStr">
        <is>
          <t>Admin</t>
        </is>
      </c>
      <c r="D4" s="5" t="inlineStr">
        <is>
          <t>Admin → People → Users → All Users &amp; Roles. Search by name/email, filter by role, tick 'Show deactivated', page through results.</t>
        </is>
      </c>
      <c r="E4" s="5" t="inlineStr">
        <is>
          <t>Table shows name, email, role, status (Active / Unverified / Deactivated) and joined date; filters and paging update the list.</t>
        </is>
      </c>
      <c r="F4" s="5" t="inlineStr">
        <is>
          <t>Type check + lint</t>
        </is>
      </c>
      <c r="G4" s="5" t="inlineStr">
        <is>
          <t>Verified in code</t>
        </is>
      </c>
      <c r="H4" s="5" t="inlineStr">
        <is>
          <t>Not browser-tested.</t>
        </is>
      </c>
      <c r="I4" s="5" t="inlineStr">
        <is>
          <t>src/app/admin/users/page.tsx; src/app/api/admin/users/route.ts</t>
        </is>
      </c>
    </row>
    <row r="5">
      <c r="A5" s="5" t="inlineStr">
        <is>
          <t>UM-04</t>
        </is>
      </c>
      <c r="B5" s="5" t="inlineStr">
        <is>
          <t>Summary cards filter the table</t>
        </is>
      </c>
      <c r="C5" s="5" t="inlineStr">
        <is>
          <t>Admin</t>
        </is>
      </c>
      <c r="D5" s="5" t="inlineStr">
        <is>
          <t>Click the Total users / Role requests / Admins / Editors cards.</t>
        </is>
      </c>
      <c r="E5" s="5" t="inlineStr">
        <is>
          <t>Table filters to that group; the active card is highlighted.</t>
        </is>
      </c>
      <c r="F5" s="5" t="inlineStr">
        <is>
          <t>Type check + lint</t>
        </is>
      </c>
      <c r="G5" s="5" t="inlineStr">
        <is>
          <t>Verified in code</t>
        </is>
      </c>
      <c r="H5" s="5" t="inlineStr">
        <is>
          <t>Not browser-tested.</t>
        </is>
      </c>
      <c r="I5" s="5" t="inlineStr">
        <is>
          <t>src/app/admin/users/page.tsx</t>
        </is>
      </c>
    </row>
    <row r="6">
      <c r="A6" s="5" t="inlineStr">
        <is>
          <t>UM-05</t>
        </is>
      </c>
      <c r="B6" s="5" t="inlineStr">
        <is>
          <t>Change a user's role</t>
        </is>
      </c>
      <c r="C6" s="5" t="inlineStr">
        <is>
          <t>Admin</t>
        </is>
      </c>
      <c r="D6" s="5" t="inlineStr">
        <is>
          <t>Click 'Change role', pick a role, click Save role.</t>
        </is>
      </c>
      <c r="E6" s="5" t="inlineStr">
        <is>
          <t>Role updated; extra confirmation when granting ADMIN; an admin cannot remove their own ADMIN role; takes effect at the user's next sign-in.</t>
        </is>
      </c>
      <c r="F6" s="5" t="inlineStr">
        <is>
          <t>Type check + lint</t>
        </is>
      </c>
      <c r="G6" s="5" t="inlineStr">
        <is>
          <t>Verified in code</t>
        </is>
      </c>
      <c r="H6" s="5" t="inlineStr">
        <is>
          <t>Uses the existing PATCH /api/admin/users/[id]/role (audited).</t>
        </is>
      </c>
      <c r="I6" s="5" t="inlineStr">
        <is>
          <t>src/app/admin/users/page.tsx; src/app/api/admin/users/[userId]/role/route.ts</t>
        </is>
      </c>
    </row>
    <row r="7">
      <c r="A7" s="5" t="inlineStr">
        <is>
          <t>UM-06</t>
        </is>
      </c>
      <c r="B7" s="5" t="inlineStr">
        <is>
          <t>Approve a pending role request</t>
        </is>
      </c>
      <c r="C7" s="5" t="inlineStr">
        <is>
          <t>Admin</t>
        </is>
      </c>
      <c r="D7" s="5" t="inlineStr">
        <is>
          <t>Open the 'Role requests' tab, click 'Approve &lt;ROLE&gt;'.</t>
        </is>
      </c>
      <c r="E7" s="5" t="inlineStr">
        <is>
          <t>User gets the requested role and leaves the pending list.</t>
        </is>
      </c>
      <c r="F7" s="5" t="inlineStr">
        <is>
          <t>Type check + lint</t>
        </is>
      </c>
      <c r="G7" s="5" t="inlineStr">
        <is>
          <t>Verified in code</t>
        </is>
      </c>
      <c r="H7" s="5" t="inlineStr">
        <is>
          <t>Not browser-tested.</t>
        </is>
      </c>
      <c r="I7" s="5" t="inlineStr">
        <is>
          <t>src/app/admin/users/page.tsx</t>
        </is>
      </c>
    </row>
    <row r="8">
      <c r="A8" s="5" t="inlineStr">
        <is>
          <t>UM-07</t>
        </is>
      </c>
      <c r="B8" s="5" t="inlineStr">
        <is>
          <t>Deactivate and restore an account</t>
        </is>
      </c>
      <c r="C8" s="5" t="inlineStr">
        <is>
          <t>Admin</t>
        </is>
      </c>
      <c r="D8" s="5" t="inlineStr">
        <is>
          <t>Click Deactivate (confirm). Tick 'Show deactivated', click Restore.</t>
        </is>
      </c>
      <c r="E8" s="5" t="inlineStr">
        <is>
          <t>Account marked Deactivated with history kept; Restore brings it back. An admin cannot deactivate themselves.</t>
        </is>
      </c>
      <c r="F8" s="5" t="inlineStr">
        <is>
          <t>Type check + lint</t>
        </is>
      </c>
      <c r="G8" s="5" t="inlineStr">
        <is>
          <t>Verified in code</t>
        </is>
      </c>
      <c r="H8" s="5" t="inlineStr">
        <is>
          <t>Uses the existing soft-delete API.</t>
        </is>
      </c>
      <c r="I8" s="5" t="inlineStr">
        <is>
          <t>src/app/api/admin/users/[userId]/route.ts</t>
        </is>
      </c>
    </row>
    <row r="9">
      <c r="A9" s="5" t="inlineStr">
        <is>
          <t>UM-08</t>
        </is>
      </c>
      <c r="B9" s="5" t="inlineStr">
        <is>
          <t>Permanently delete a deactivated account</t>
        </is>
      </c>
      <c r="C9" s="5" t="inlineStr">
        <is>
          <t>Admin</t>
        </is>
      </c>
      <c r="D9" s="5" t="inlineStr">
        <is>
          <t>Tick 'Show deactivated' → 'Delete forever' → confirm.</t>
        </is>
      </c>
      <c r="E9" s="5" t="inlineStr">
        <is>
          <t>Only allowed for already-deactivated accounts; history erased; audit entry records what was destroyed.</t>
        </is>
      </c>
      <c r="F9" s="5" t="inlineStr">
        <is>
          <t>Type check + lint</t>
        </is>
      </c>
      <c r="G9" s="5" t="inlineStr">
        <is>
          <t>Verified in code</t>
        </is>
      </c>
      <c r="H9" s="5" t="inlineStr">
        <is>
          <t>Not browser-tested.</t>
        </is>
      </c>
      <c r="I9" s="5" t="inlineStr">
        <is>
          <t>src/app/api/admin/users/[userId]/route.ts</t>
        </is>
      </c>
    </row>
    <row r="10">
      <c r="A10" s="5" t="inlineStr">
        <is>
          <t>UM-09</t>
        </is>
      </c>
      <c r="B10" s="5" t="inlineStr">
        <is>
          <t>Create a user with a role</t>
        </is>
      </c>
      <c r="C10" s="5" t="inlineStr">
        <is>
          <t>Admin</t>
        </is>
      </c>
      <c r="D10" s="5" t="inlineStr">
        <is>
          <t>Click '+ New User', enter name, email, password and role → Create user.</t>
        </is>
      </c>
      <c r="E10" s="5" t="inlineStr">
        <is>
          <t>Account created with the role and its profile; same password rules as sign-up; duplicate email rejected; audit entry written.</t>
        </is>
      </c>
      <c r="F10" s="5" t="inlineStr">
        <is>
          <t>Type check + lint</t>
        </is>
      </c>
      <c r="G10" s="5" t="inlineStr">
        <is>
          <t>Verified in code</t>
        </is>
      </c>
      <c r="H10" s="5" t="inlineStr">
        <is>
          <t>POST /api/admin/users. Not browser-tested.</t>
        </is>
      </c>
      <c r="I10" s="5" t="inlineStr">
        <is>
          <t>src/app/api/admin/users/route.ts; src/data/admin/tables.ts</t>
        </is>
      </c>
    </row>
  </sheetData>
  <autoFilter ref="A1:I10"/>
  <conditionalFormatting sqref="G2:G200">
    <cfRule type="expression" priority="1" dxfId="0">
      <formula>$G2="Pass"</formula>
    </cfRule>
    <cfRule type="expression" priority="2" dxfId="1">
      <formula>$G2="Verified in code"</formula>
    </cfRule>
    <cfRule type="expression" priority="3" dxfId="2">
      <formula>$G2="Not tested"</formula>
    </cfRule>
    <cfRule type="expression" priority="4" dxfId="3">
      <formula>$G2="Known limitation"</formula>
    </cfRule>
  </conditionalFormatting>
  <dataValidations count="1">
    <dataValidation sqref="G2:G200" showDropDown="0" showInputMessage="0" showErrorMessage="0" allowBlank="1" type="list">
      <formula1>"Pass,Verified in code,Not tested,Known limitation"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13" customWidth="1" min="3" max="3"/>
    <col width="46" customWidth="1" min="4" max="4"/>
    <col width="40" customWidth="1" min="5" max="5"/>
    <col width="24" customWidth="1" min="6" max="6"/>
    <col width="17" customWidth="1" min="7" max="7"/>
    <col width="52" customWidth="1" min="8" max="8"/>
    <col width="38" customWidth="1" min="9" max="9"/>
  </cols>
  <sheetData>
    <row r="1">
      <c r="A1" s="3" t="inlineStr">
        <is>
          <t>ID</t>
        </is>
      </c>
      <c r="B1" s="3" t="inlineStr">
        <is>
          <t>Functionality</t>
        </is>
      </c>
      <c r="C1" s="3" t="inlineStr">
        <is>
          <t>Who uses it</t>
        </is>
      </c>
      <c r="D1" s="3" t="inlineStr">
        <is>
          <t>How to use / steps</t>
        </is>
      </c>
      <c r="E1" s="3" t="inlineStr">
        <is>
          <t>Expected result</t>
        </is>
      </c>
      <c r="F1" s="3" t="inlineStr">
        <is>
          <t>Test method</t>
        </is>
      </c>
      <c r="G1" s="3" t="inlineStr">
        <is>
          <t>Result</t>
        </is>
      </c>
      <c r="H1" s="3" t="inlineStr">
        <is>
          <t>Evidence / notes</t>
        </is>
      </c>
      <c r="I1" s="3" t="inlineStr">
        <is>
          <t>Key files</t>
        </is>
      </c>
    </row>
    <row r="2">
      <c r="A2" s="5" t="inlineStr">
        <is>
          <t>LE-01</t>
        </is>
      </c>
      <c r="B2" s="5" t="inlineStr">
        <is>
          <t>Module URL fields accept site paths and full links</t>
        </is>
      </c>
      <c r="C2" s="5" t="inlineStr">
        <is>
          <t>Editor</t>
        </is>
      </c>
      <c r="D2" s="5" t="inlineStr">
        <is>
          <t>Editor → Lessons → Edit lesson → Module URLs. Enter e.g. https://placetens.vercel.app/ or /student/quiz/practice-1.</t>
        </is>
      </c>
      <c r="E2" s="5" t="inlineStr">
        <is>
          <t>Save is no longer blocked by the browser's URL check; the value is saved exactly.</t>
        </is>
      </c>
      <c r="F2" s="5" t="inlineStr">
        <is>
          <t>API call (Editor save)</t>
        </is>
      </c>
      <c r="G2" s="5" t="inlineStr">
        <is>
          <t>Pass</t>
        </is>
      </c>
      <c r="H2" s="5" t="inlineStr">
        <is>
          <t>Saved Architecture https://number-counting-gamma.vercel.app/ and Video https://www.youtube.com/watch?v=6hyYVLv8hzY → 200 'Lesson saved.'</t>
        </is>
      </c>
      <c r="I2" s="5" t="inlineStr">
        <is>
          <t>src/app/editor/lessons/[gradeId]/[lessonId]/page.tsx</t>
        </is>
      </c>
    </row>
    <row r="3">
      <c r="A3" s="5" t="inlineStr">
        <is>
          <t>LE-02</t>
        </is>
      </c>
      <c r="B3" s="5" t="inlineStr">
        <is>
          <t>Link required only when the module is Enabled</t>
        </is>
      </c>
      <c r="C3" s="5" t="inlineStr">
        <is>
          <t>Editor</t>
        </is>
      </c>
      <c r="D3" s="5" t="inlineStr">
        <is>
          <t>Untick Enabled and leave the link empty → Save. Tick Enabled with an empty link → Save.</t>
        </is>
      </c>
      <c r="E3" s="5" t="inlineStr">
        <is>
          <t>Disabled + empty saves fine; Enabled + empty shows 'Add a link, or untick Enabled.'</t>
        </is>
      </c>
      <c r="F3" s="5" t="inlineStr">
        <is>
          <t>Validation script</t>
        </is>
      </c>
      <c r="G3" s="5" t="inlineStr">
        <is>
          <t>Pass</t>
        </is>
      </c>
      <c r="H3" s="5" t="inlineStr">
        <is>
          <t>Both cases checked.</t>
        </is>
      </c>
      <c r="I3" s="5" t="inlineStr">
        <is>
          <t>src/lib/content/lesson-modules.ts</t>
        </is>
      </c>
    </row>
    <row r="4">
      <c r="A4" s="5" t="inlineStr">
        <is>
          <t>LE-03</t>
        </is>
      </c>
      <c r="B4" s="5" t="inlineStr">
        <is>
          <t>Invalid link formats rejected</t>
        </is>
      </c>
      <c r="C4" s="5" t="inlineStr">
        <is>
          <t>Editor</t>
        </is>
      </c>
      <c r="D4" s="5" t="inlineStr">
        <is>
          <t>Enter 'student/lesson', '//evil.com' or 'javascript:alert(1)'.</t>
        </is>
      </c>
      <c r="E4" s="5" t="inlineStr">
        <is>
          <t>Field error: use a site path or a full https:// link.</t>
        </is>
      </c>
      <c r="F4" s="5" t="inlineStr">
        <is>
          <t>Validation script</t>
        </is>
      </c>
      <c r="G4" s="5" t="inlineStr">
        <is>
          <t>Pass</t>
        </is>
      </c>
      <c r="H4" s="5" t="inlineStr">
        <is>
          <t>All three rejected; /student/lesson/video and https links accepted.</t>
        </is>
      </c>
      <c r="I4" s="5" t="inlineStr">
        <is>
          <t>src/lib/content/lesson-modules.ts</t>
        </is>
      </c>
    </row>
    <row r="5">
      <c r="A5" s="5" t="inlineStr">
        <is>
          <t>LE-04</t>
        </is>
      </c>
      <c r="B5" s="5" t="inlineStr">
        <is>
          <t>Architecture / Video links limited to embeddable sites</t>
        </is>
      </c>
      <c r="C5" s="5" t="inlineStr">
        <is>
          <t>Editor</t>
        </is>
      </c>
      <c r="D5" s="5" t="inlineStr">
        <is>
          <t>Enter an Architecture link on another site, e.g. https://example.com/lesson → Save.</t>
        </is>
      </c>
      <c r="E5" s="5" t="inlineStr">
        <is>
          <t>422 with a message; allowed sites are *.vercel.app, YouTube (incl. youtu.be) and Google Drive.</t>
        </is>
      </c>
      <c r="F5" s="5" t="inlineStr">
        <is>
          <t>API call + validation script</t>
        </is>
      </c>
      <c r="G5" s="5" t="inlineStr">
        <is>
          <t>Pass</t>
        </is>
      </c>
      <c r="H5" s="5" t="inlineStr">
        <is>
          <t>example.com → 422 'Students can't open this site inside the lesson…'; lesson file unchanged. vimeo.com video rejected; youtu.be and Drive accepted.</t>
        </is>
      </c>
      <c r="I5" s="5" t="inlineStr">
        <is>
          <t>src/lib/content/lesson-modules.ts; next.config.ts (frame-src)</t>
        </is>
      </c>
    </row>
    <row r="6">
      <c r="A6" s="5" t="inlineStr">
        <is>
          <t>LE-05</t>
        </is>
      </c>
      <c r="B6" s="5" t="inlineStr">
        <is>
          <t>Save writes the lesson JSON (local / writable server)</t>
        </is>
      </c>
      <c r="C6" s="5" t="inlineStr">
        <is>
          <t>Editor</t>
        </is>
      </c>
      <c r="D6" s="5" t="inlineStr">
        <is>
          <t>Save a lesson on a local dev server.</t>
        </is>
      </c>
      <c r="E6" s="5" t="inlineStr">
        <is>
          <t>Lesson JSON file contains the saved values; response storedIn = file.</t>
        </is>
      </c>
      <c r="F6" s="5" t="inlineStr">
        <is>
          <t>API call + file check</t>
        </is>
      </c>
      <c r="G6" s="5" t="inlineStr">
        <is>
          <t>Pass</t>
        </is>
      </c>
      <c r="H6" s="5" t="inlineStr">
        <is>
          <t>grade1/lessons/counting-up-to-100.json contained both saved URLs; practiceModule unchanged.</t>
        </is>
      </c>
      <c r="I6" s="5" t="inlineStr">
        <is>
          <t>src/lib/content/lesson-store.ts; src/lib/content/curriculum-store.ts</t>
        </is>
      </c>
    </row>
    <row r="7">
      <c r="A7" s="5" t="inlineStr">
        <is>
          <t>LE-06</t>
        </is>
      </c>
      <c r="B7" s="5" t="inlineStr">
        <is>
          <t>Save works on a read-only server (Vercel)</t>
        </is>
      </c>
      <c r="C7" s="5" t="inlineStr">
        <is>
          <t>Editor</t>
        </is>
      </c>
      <c r="D7" s="5" t="inlineStr">
        <is>
          <t>Save a lesson on the deployed site.</t>
        </is>
      </c>
      <c r="E7" s="5" t="inlineStr">
        <is>
          <t>Saved to the database instead of failing with 'Save failed (500)'; the message says it was saved to the database.</t>
        </is>
      </c>
      <c r="F7" s="5" t="inlineStr">
        <is>
          <t>Read-only simulation script</t>
        </is>
      </c>
      <c r="G7" s="5" t="inlineStr">
        <is>
          <t>Pass</t>
        </is>
      </c>
      <c r="H7" s="5" t="inlineStr">
        <is>
          <t>Store forced read-only: save → storedIn database, no file written. Not yet tested on a real Vercel deploy.</t>
        </is>
      </c>
      <c r="I7" s="5" t="inlineStr">
        <is>
          <t>src/lib/content/curriculum-store.ts; src/app/api/editor/lessons/[gradeId]/[lessonId]/route.ts</t>
        </is>
      </c>
    </row>
    <row r="8">
      <c r="A8" s="5" t="inlineStr">
        <is>
          <t>LE-07</t>
        </is>
      </c>
      <c r="B8" s="5" t="inlineStr">
        <is>
          <t>Save errors shown instead of a stuck 'Saving…'</t>
        </is>
      </c>
      <c r="C8" s="5" t="inlineStr">
        <is>
          <t>Editor</t>
        </is>
      </c>
      <c r="D8" s="5" t="inlineStr">
        <is>
          <t>Trigger a failing save (e.g. a server error).</t>
        </is>
      </c>
      <c r="E8" s="5" t="inlineStr">
        <is>
          <t>Message explains the failure (e.g. read-only filesystem, database unreachable); the button re-enables.</t>
        </is>
      </c>
      <c r="F8" s="5" t="inlineStr">
        <is>
          <t>Code review</t>
        </is>
      </c>
      <c r="G8" s="5" t="inlineStr">
        <is>
          <t>Verified in code</t>
        </is>
      </c>
      <c r="H8" s="5" t="inlineStr">
        <is>
          <t>The earlier 'Save failed (500)' screenshot showed the error surfacing instead of hanging.</t>
        </is>
      </c>
      <c r="I8" s="5" t="inlineStr">
        <is>
          <t>src/app/editor/lessons/[gradeId]/[lessonId]/page.tsx</t>
        </is>
      </c>
    </row>
    <row r="9">
      <c r="A9" s="5" t="inlineStr">
        <is>
          <t>LE-08</t>
        </is>
      </c>
      <c r="B9" s="5" t="inlineStr">
        <is>
          <t>Form and Raw JSON tabs stay in sync</t>
        </is>
      </c>
      <c r="C9" s="5" t="inlineStr">
        <is>
          <t>Editor</t>
        </is>
      </c>
      <c r="D9" s="5" t="inlineStr">
        <is>
          <t>Edit in Form, switch to Raw JSON (and back), save from either tab.</t>
        </is>
      </c>
      <c r="E9" s="5" t="inlineStr">
        <is>
          <t>Unsaved edits carry across tabs; saving one tab never writes stale values from the other.</t>
        </is>
      </c>
      <c r="F9" s="5" t="inlineStr">
        <is>
          <t>Code review</t>
        </is>
      </c>
      <c r="G9" s="5" t="inlineStr">
        <is>
          <t>Verified in code</t>
        </is>
      </c>
      <c r="H9" s="5" t="inlineStr">
        <is>
          <t>Not browser-tested.</t>
        </is>
      </c>
      <c r="I9" s="5" t="inlineStr">
        <is>
          <t>src/app/editor/lessons/[gradeId]/[lessonId]/page.tsx</t>
        </is>
      </c>
    </row>
    <row r="10">
      <c r="A10" s="5" t="inlineStr">
        <is>
          <t>LE-09</t>
        </is>
      </c>
      <c r="B10" s="5" t="inlineStr">
        <is>
          <t>Lesson list includes database-only lessons</t>
        </is>
      </c>
      <c r="C10" s="5" t="inlineStr">
        <is>
          <t>Editor</t>
        </is>
      </c>
      <c r="D10" s="5" t="inlineStr">
        <is>
          <t>On a read-only server, create a lesson and open the grade's lesson list.</t>
        </is>
      </c>
      <c r="E10" s="5" t="inlineStr">
        <is>
          <t>The new lesson appears in the list.</t>
        </is>
      </c>
      <c r="F10" s="5" t="inlineStr">
        <is>
          <t>Read-only simulation script</t>
        </is>
      </c>
      <c r="G10" s="5" t="inlineStr">
        <is>
          <t>Pass</t>
        </is>
      </c>
      <c r="H10" s="5" t="inlineStr">
        <is>
          <t>listLessons(grade99) → ['test-topic'].</t>
        </is>
      </c>
      <c r="I10" s="5" t="inlineStr">
        <is>
          <t>src/lib/content/lesson-store.ts</t>
        </is>
      </c>
    </row>
    <row r="11">
      <c r="A11" s="5" t="inlineStr">
        <is>
          <t>LE-10</t>
        </is>
      </c>
      <c r="B11" s="5" t="inlineStr">
        <is>
          <t>Delete a lesson</t>
        </is>
      </c>
      <c r="C11" s="5" t="inlineStr">
        <is>
          <t>Editor</t>
        </is>
      </c>
      <c r="D11" s="5" t="inlineStr">
        <is>
          <t>Lessons list → Delete.</t>
        </is>
      </c>
      <c r="E11" s="5" t="inlineStr">
        <is>
          <t>Locally the file is removed; on a read-only server a tombstone hides it. Content stays recoverable from the mirror.</t>
        </is>
      </c>
      <c r="F11" s="5" t="inlineStr">
        <is>
          <t>Read-only simulation script</t>
        </is>
      </c>
      <c r="G11" s="5" t="inlineStr">
        <is>
          <t>Pass</t>
        </is>
      </c>
      <c r="H11" s="5" t="inlineStr">
        <is>
          <t>Read-only delete → readLesson returns null, list empty.</t>
        </is>
      </c>
      <c r="I11" s="5" t="inlineStr">
        <is>
          <t>src/lib/content/lesson-store.ts</t>
        </is>
      </c>
    </row>
    <row r="12">
      <c r="A12" s="5" t="inlineStr">
        <is>
          <t>LE-11</t>
        </is>
      </c>
      <c r="B12" s="5" t="inlineStr">
        <is>
          <t>Create a lesson</t>
        </is>
      </c>
      <c r="C12" s="5" t="inlineStr">
        <is>
          <t>Editor</t>
        </is>
      </c>
      <c r="D12" s="5" t="inlineStr">
        <is>
          <t>Lessons → create form (id, title, chapter, URLs).</t>
        </is>
      </c>
      <c r="E12" s="5" t="inlineStr">
        <is>
          <t>Lesson created; a module is only enabled when it was given a link.</t>
        </is>
      </c>
      <c r="F12" s="5" t="inlineStr">
        <is>
          <t>Code review</t>
        </is>
      </c>
      <c r="G12" s="5" t="inlineStr">
        <is>
          <t>Verified in code</t>
        </is>
      </c>
      <c r="H12" s="5" t="inlineStr">
        <is>
          <t>POST route not called in tests.</t>
        </is>
      </c>
      <c r="I12" s="5" t="inlineStr">
        <is>
          <t>src/app/api/editor/lessons/[gradeId]/route.ts</t>
        </is>
      </c>
    </row>
    <row r="13">
      <c r="A13" s="5" t="inlineStr">
        <is>
          <t>LE-12</t>
        </is>
      </c>
      <c r="B13" s="5" t="inlineStr">
        <is>
          <t>Existing lesson files pass the new validation</t>
        </is>
      </c>
      <c r="C13" s="5" t="inlineStr">
        <is>
          <t>Editor</t>
        </is>
      </c>
      <c r="D13" s="5" t="inlineStr">
        <is>
          <t>Open and save any existing lesson.</t>
        </is>
      </c>
      <c r="E13" s="5" t="inlineStr">
        <is>
          <t>No validation errors on existing data.</t>
        </is>
      </c>
      <c r="F13" s="5" t="inlineStr">
        <is>
          <t>Validation script</t>
        </is>
      </c>
      <c r="G13" s="5" t="inlineStr">
        <is>
          <t>Pass</t>
        </is>
      </c>
      <c r="H13" s="5" t="inlineStr">
        <is>
          <t>All 8 lesson files (Grade 1 ×7, Grade 2 ×1) OK.</t>
        </is>
      </c>
      <c r="I13" s="5" t="inlineStr">
        <is>
          <t>src/data/grades/*/lessons/*.json</t>
        </is>
      </c>
    </row>
  </sheetData>
  <autoFilter ref="A1:I13"/>
  <conditionalFormatting sqref="G2:G200">
    <cfRule type="expression" priority="1" dxfId="0">
      <formula>$G2="Pass"</formula>
    </cfRule>
    <cfRule type="expression" priority="2" dxfId="1">
      <formula>$G2="Verified in code"</formula>
    </cfRule>
    <cfRule type="expression" priority="3" dxfId="2">
      <formula>$G2="Not tested"</formula>
    </cfRule>
    <cfRule type="expression" priority="4" dxfId="3">
      <formula>$G2="Known limitation"</formula>
    </cfRule>
  </conditionalFormatting>
  <dataValidations count="1">
    <dataValidation sqref="G2:G200" showDropDown="0" showInputMessage="0" showErrorMessage="0" allowBlank="1" type="list">
      <formula1>"Pass,Verified in code,Not tested,Known limitation"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13" customWidth="1" min="3" max="3"/>
    <col width="46" customWidth="1" min="4" max="4"/>
    <col width="40" customWidth="1" min="5" max="5"/>
    <col width="24" customWidth="1" min="6" max="6"/>
    <col width="17" customWidth="1" min="7" max="7"/>
    <col width="52" customWidth="1" min="8" max="8"/>
    <col width="38" customWidth="1" min="9" max="9"/>
  </cols>
  <sheetData>
    <row r="1">
      <c r="A1" s="3" t="inlineStr">
        <is>
          <t>ID</t>
        </is>
      </c>
      <c r="B1" s="3" t="inlineStr">
        <is>
          <t>Functionality</t>
        </is>
      </c>
      <c r="C1" s="3" t="inlineStr">
        <is>
          <t>Who uses it</t>
        </is>
      </c>
      <c r="D1" s="3" t="inlineStr">
        <is>
          <t>How to use / steps</t>
        </is>
      </c>
      <c r="E1" s="3" t="inlineStr">
        <is>
          <t>Expected result</t>
        </is>
      </c>
      <c r="F1" s="3" t="inlineStr">
        <is>
          <t>Test method</t>
        </is>
      </c>
      <c r="G1" s="3" t="inlineStr">
        <is>
          <t>Result</t>
        </is>
      </c>
      <c r="H1" s="3" t="inlineStr">
        <is>
          <t>Evidence / notes</t>
        </is>
      </c>
      <c r="I1" s="3" t="inlineStr">
        <is>
          <t>Key files</t>
        </is>
      </c>
    </row>
    <row r="2">
      <c r="A2" s="5" t="inlineStr">
        <is>
          <t>SL-01</t>
        </is>
      </c>
      <c r="B2" s="5" t="inlineStr">
        <is>
          <t>Architecture loads the Editor-saved URL</t>
        </is>
      </c>
      <c r="C2" s="5" t="inlineStr">
        <is>
          <t>Student</t>
        </is>
      </c>
      <c r="D2" s="5" t="inlineStr">
        <is>
          <t>Open /student/lesson/counting-numbers-up-to-100 (Lesson button).</t>
        </is>
      </c>
      <c r="E2" s="5" t="inlineStr">
        <is>
          <t>Interactive lesson framed inside the Lesson Player card, using the URL from lesson data.</t>
        </is>
      </c>
      <c r="F2" s="5" t="inlineStr">
        <is>
          <t>Browser (headless Chrome)</t>
        </is>
      </c>
      <c r="G2" s="5" t="inlineStr">
        <is>
          <t>Pass</t>
        </is>
      </c>
      <c r="H2" s="5" t="inlineStr">
        <is>
          <t>iframe src = https://number-counting-gamma.vercel.app/ (hard-coded URL map removed).</t>
        </is>
      </c>
      <c r="I2" s="5" t="inlineStr">
        <is>
          <t>src/app/student/lesson/[id]/page.tsx; src/lib/student/lesson-resources.ts</t>
        </is>
      </c>
    </row>
    <row r="3">
      <c r="A3" s="5" t="inlineStr">
        <is>
          <t>SL-02</t>
        </is>
      </c>
      <c r="B3" s="5" t="inlineStr">
        <is>
          <t>Videos button plays the Editor-saved video in the lesson page</t>
        </is>
      </c>
      <c r="C3" s="5" t="inlineStr">
        <is>
          <t>Student</t>
        </is>
      </c>
      <c r="D3" s="5" t="inlineStr">
        <is>
          <t>Click 'Videos' on the lesson page.</t>
        </is>
      </c>
      <c r="E3" s="5" t="inlineStr">
        <is>
          <t>URL becomes ?module=video; the YouTube video plays in the existing video player.</t>
        </is>
      </c>
      <c r="F3" s="5" t="inlineStr">
        <is>
          <t>Browser (headless Chrome)</t>
        </is>
      </c>
      <c r="G3" s="5" t="inlineStr">
        <is>
          <t>Pass</t>
        </is>
      </c>
      <c r="H3" s="5" t="inlineStr">
        <is>
          <t>iframe youtube-nocookie.com/embed/6hyYVLv8hzY.</t>
        </is>
      </c>
      <c r="I3" s="5" t="inlineStr">
        <is>
          <t>src/app/student/lesson/[id]/page.tsx</t>
        </is>
      </c>
    </row>
    <row r="4">
      <c r="A4" s="5" t="inlineStr">
        <is>
          <t>SL-03</t>
        </is>
      </c>
      <c r="B4" s="5" t="inlineStr">
        <is>
          <t>EduNotes button opens the book in the lesson page</t>
        </is>
      </c>
      <c r="C4" s="5" t="inlineStr">
        <is>
          <t>Student</t>
        </is>
      </c>
      <c r="D4" s="5" t="inlineStr">
        <is>
          <t>Click 'EduNotes', then 'Open Book →'.</t>
        </is>
      </c>
      <c r="E4" s="5" t="inlineStr">
        <is>
          <t>EduNotesBookViewer opens inside the lesson page and PDF pages render.</t>
        </is>
      </c>
      <c r="F4" s="5" t="inlineStr">
        <is>
          <t>Browser (headless Chrome)</t>
        </is>
      </c>
      <c r="G4" s="5" t="inlineStr">
        <is>
          <t>Pass</t>
        </is>
      </c>
      <c r="H4" s="5" t="inlineStr">
        <is>
          <t>13-page book; PDF canvases rendered.</t>
        </is>
      </c>
      <c r="I4" s="5" t="inlineStr">
        <is>
          <t>src/app/student/lesson/[id]/page.tsx; src/components/student/EduNotesBookViewer.tsx (unchanged)</t>
        </is>
      </c>
    </row>
    <row r="5">
      <c r="A5" s="5" t="inlineStr">
        <is>
          <t>SL-04</t>
        </is>
      </c>
      <c r="B5" s="5" t="inlineStr">
        <is>
          <t>One Header and Sidebar only</t>
        </is>
      </c>
      <c r="C5" s="5" t="inlineStr">
        <is>
          <t>Student</t>
        </is>
      </c>
      <c r="D5" s="5" t="inlineStr">
        <is>
          <t>Switch between Lesson, Videos and EduNotes.</t>
        </is>
      </c>
      <c r="E5" s="5" t="inlineStr">
        <is>
          <t>No student route is framed inside another; exactly one Header and Sidebar.</t>
        </is>
      </c>
      <c r="F5" s="5" t="inlineStr">
        <is>
          <t>Browser (headless Chrome)</t>
        </is>
      </c>
      <c r="G5" s="5" t="inlineStr">
        <is>
          <t>Pass</t>
        </is>
      </c>
      <c r="H5" s="5" t="inlineStr">
        <is>
          <t>student-shell count = 1 on every module.</t>
        </is>
      </c>
      <c r="I5" s="5" t="inlineStr">
        <is>
          <t>src/components/student/LessonResourceNav.tsx</t>
        </is>
      </c>
    </row>
    <row r="6">
      <c r="A6" s="5" t="inlineStr">
        <is>
          <t>SL-05</t>
        </is>
      </c>
      <c r="B6" s="5" t="inlineStr">
        <is>
          <t>Unavailable modules show the existing states</t>
        </is>
      </c>
      <c r="C6" s="5" t="inlineStr">
        <is>
          <t>Student</t>
        </is>
      </c>
      <c r="D6" s="5" t="inlineStr">
        <is>
          <t>Open a lesson whose modules are disabled, e.g. numbers-and-counting-test-series.</t>
        </is>
      </c>
      <c r="E6" s="5" t="inlineStr">
        <is>
          <t>'Lesson Architecture Coming Soon', 'Videos coming soon', 'EduNotes not available' — no crash.</t>
        </is>
      </c>
      <c r="F6" s="5" t="inlineStr">
        <is>
          <t>Browser (headless Chrome)</t>
        </is>
      </c>
      <c r="G6" s="5" t="inlineStr">
        <is>
          <t>Pass</t>
        </is>
      </c>
      <c r="H6" s="5" t="inlineStr">
        <is>
          <t>All three states shown.</t>
        </is>
      </c>
      <c r="I6" s="5" t="inlineStr">
        <is>
          <t>src/app/student/lesson/[id]/page.tsx</t>
        </is>
      </c>
    </row>
    <row r="7">
      <c r="A7" s="5" t="inlineStr">
        <is>
          <t>SL-06</t>
        </is>
      </c>
      <c r="B7" s="5" t="inlineStr">
        <is>
          <t>Lesson uses the student's own grade (no wrong-grade flash)</t>
        </is>
      </c>
      <c r="C7" s="5" t="inlineStr">
        <is>
          <t>Student</t>
        </is>
      </c>
      <c r="D7" s="5" t="inlineStr">
        <is>
          <t>Open a lesson link without ?grade=.</t>
        </is>
      </c>
      <c r="E7" s="5" t="inlineStr">
        <is>
          <t>Lesson data is requested once, with the grade from the student profile.</t>
        </is>
      </c>
      <c r="F7" s="5" t="inlineStr">
        <is>
          <t>Browser (headless Chrome)</t>
        </is>
      </c>
      <c r="G7" s="5" t="inlineStr">
        <is>
          <t>Pass</t>
        </is>
      </c>
      <c r="H7" s="5" t="inlineStr">
        <is>
          <t>Cached grade3 + profile grade1 → single request grade=grade1 (lesson and video pages).</t>
        </is>
      </c>
      <c r="I7" s="5" t="inlineStr">
        <is>
          <t>src/context/StudentContext.tsx (gradeReady); src/app/student/lesson/[id]/page.tsx</t>
        </is>
      </c>
    </row>
    <row r="8">
      <c r="A8" s="5" t="inlineStr">
        <is>
          <t>SL-07</t>
        </is>
      </c>
      <c r="B8" s="5" t="inlineStr">
        <is>
          <t>Module buttons carry the grade</t>
        </is>
      </c>
      <c r="C8" s="5" t="inlineStr">
        <is>
          <t>Student</t>
        </is>
      </c>
      <c r="D8" s="5" t="inlineStr">
        <is>
          <t>Inspect the Lesson / Videos / EduNotes button links.</t>
        </is>
      </c>
      <c r="E8" s="5" t="inlineStr">
        <is>
          <t>Links are /student/lesson/&lt;id&gt;?module=…&amp;grade=&lt;grade&gt;.</t>
        </is>
      </c>
      <c r="F8" s="5" t="inlineStr">
        <is>
          <t>Browser (headless Chrome)</t>
        </is>
      </c>
      <c r="G8" s="5" t="inlineStr">
        <is>
          <t>Pass</t>
        </is>
      </c>
      <c r="H8" s="5" t="inlineStr">
        <is>
          <t>All three hrefs include grade=grade1.</t>
        </is>
      </c>
      <c r="I8" s="5" t="inlineStr">
        <is>
          <t>src/components/student/LessonResourceNav.tsx</t>
        </is>
      </c>
    </row>
    <row r="9">
      <c r="A9" s="5" t="inlineStr">
        <is>
          <t>SL-08</t>
        </is>
      </c>
      <c r="B9" s="5" t="inlineStr">
        <is>
          <t>Grade 2 lesson loads Grade 2 data</t>
        </is>
      </c>
      <c r="C9" s="5" t="inlineStr">
        <is>
          <t>Student</t>
        </is>
      </c>
      <c r="D9" s="5" t="inlineStr">
        <is>
          <t>Open /student/lesson/counting-numbers-up-to-200?grade=grade2.</t>
        </is>
      </c>
      <c r="E9" s="5" t="inlineStr">
        <is>
          <t>The Grade 2 interactive lesson loads.</t>
        </is>
      </c>
      <c r="F9" s="5" t="inlineStr">
        <is>
          <t>Browser (headless Chrome)</t>
        </is>
      </c>
      <c r="G9" s="5" t="inlineStr">
        <is>
          <t>Pass</t>
        </is>
      </c>
      <c r="H9" s="5" t="inlineStr">
        <is>
          <t>iframe src = https://grade2-numbers-to-200.vercel.app/.</t>
        </is>
      </c>
      <c r="I9" s="5" t="inlineStr">
        <is>
          <t>src/lib/student/lesson-resources.ts</t>
        </is>
      </c>
    </row>
    <row r="10">
      <c r="A10" s="5" t="inlineStr">
        <is>
          <t>SL-09</t>
        </is>
      </c>
      <c r="B10" s="5" t="inlineStr">
        <is>
          <t>Lesson files with a different ID still match their topic</t>
        </is>
      </c>
      <c r="C10" s="5" t="inlineStr">
        <is>
          <t>Student</t>
        </is>
      </c>
      <c r="D10" s="5" t="inlineStr">
        <is>
          <t>Open reading-and-writing-numbers or ordinal-numbers-first-second-third.</t>
        </is>
      </c>
      <c r="E10" s="5" t="inlineStr">
        <is>
          <t>Lesson file matched by title; EduNotes found.</t>
        </is>
      </c>
      <c r="F10" s="5" t="inlineStr">
        <is>
          <t>API call</t>
        </is>
      </c>
      <c r="G10" s="5" t="inlineStr">
        <is>
          <t>Pass</t>
        </is>
      </c>
      <c r="H10" s="5" t="inlineStr">
        <is>
          <t>Both resolved with EduNotes available.</t>
        </is>
      </c>
      <c r="I10" s="5" t="inlineStr">
        <is>
          <t>src/lib/student/lesson-resources.ts</t>
        </is>
      </c>
    </row>
    <row r="11">
      <c r="A11" s="5" t="inlineStr">
        <is>
          <t>SL-10</t>
        </is>
      </c>
      <c r="B11" s="5" t="inlineStr">
        <is>
          <t>Old /student/lesson/architecture link forwards</t>
        </is>
      </c>
      <c r="C11" s="5" t="inlineStr">
        <is>
          <t>Student</t>
        </is>
      </c>
      <c r="D11" s="5" t="inlineStr">
        <is>
          <t>Open /student/lesson/architecture?lessonId=counting-numbers-up-to-100.</t>
        </is>
      </c>
      <c r="E11" s="5" t="inlineStr">
        <is>
          <t>Redirects to /student/lesson/counting-numbers-up-to-100 and loads the architecture.</t>
        </is>
      </c>
      <c r="F11" s="5" t="inlineStr">
        <is>
          <t>Browser (headless Chrome)</t>
        </is>
      </c>
      <c r="G11" s="5" t="inlineStr">
        <is>
          <t>Pass</t>
        </is>
      </c>
      <c r="H11" s="5" t="inlineStr">
        <is>
          <t>Hard-coded URL removed from that route.</t>
        </is>
      </c>
      <c r="I11" s="5" t="inlineStr">
        <is>
          <t>src/app/student/lesson/architecture/page.tsx</t>
        </is>
      </c>
    </row>
    <row r="12">
      <c r="A12" s="5" t="inlineStr">
        <is>
          <t>SL-11</t>
        </is>
      </c>
      <c r="B12" s="5" t="inlineStr">
        <is>
          <t>Unknown lesson, bad grade and no session handled</t>
        </is>
      </c>
      <c r="C12" s="5" t="inlineStr">
        <is>
          <t>Student</t>
        </is>
      </c>
      <c r="D12" s="5" t="inlineStr">
        <is>
          <t>Request an unknown lesson id, an invalid grade, or call the API signed out.</t>
        </is>
      </c>
      <c r="E12" s="5" t="inlineStr">
        <is>
          <t>Unknown → unavailable (found:false); invalid grade → 400; signed out → 401.</t>
        </is>
      </c>
      <c r="F12" s="5" t="inlineStr">
        <is>
          <t>API call</t>
        </is>
      </c>
      <c r="G12" s="5" t="inlineStr">
        <is>
          <t>Pass</t>
        </is>
      </c>
      <c r="H12" s="5" t="inlineStr">
        <is>
          <t>no-such-lesson found:false; ../../etc → 400; no cookie → 401.</t>
        </is>
      </c>
      <c r="I12" s="5" t="inlineStr">
        <is>
          <t>src/app/api/student/lesson-resources/route.ts</t>
        </is>
      </c>
    </row>
    <row r="13">
      <c r="A13" s="5" t="inlineStr">
        <is>
          <t>SL-12</t>
        </is>
      </c>
      <c r="B13" s="5" t="inlineStr">
        <is>
          <t>Practice stays stored but is not shown in the lesson page</t>
        </is>
      </c>
      <c r="C13" s="5" t="inlineStr">
        <is>
          <t>Student</t>
        </is>
      </c>
      <c r="D13" s="5" t="inlineStr">
        <is>
          <t>Save a lesson in the Editor; open the lesson page.</t>
        </is>
      </c>
      <c r="E13" s="5" t="inlineStr">
        <is>
          <t>Practice URL retained in lesson data; the lesson page shows only Lesson / Videos / EduNotes.</t>
        </is>
      </c>
      <c r="F13" s="5" t="inlineStr">
        <is>
          <t>API call + code review</t>
        </is>
      </c>
      <c r="G13" s="5" t="inlineStr">
        <is>
          <t>Pass</t>
        </is>
      </c>
      <c r="H13" s="5" t="inlineStr">
        <is>
          <t>practiceModule unchanged after the Editor save.</t>
        </is>
      </c>
      <c r="I13" s="5" t="inlineStr">
        <is>
          <t>src/lib/student/lesson-resources.ts</t>
        </is>
      </c>
    </row>
    <row r="14">
      <c r="A14" s="5" t="inlineStr">
        <is>
          <t>SL-13</t>
        </is>
      </c>
      <c r="B14" s="5" t="inlineStr">
        <is>
          <t>Links on non-embeddable sites show 'unavailable' instead of a blank frame</t>
        </is>
      </c>
      <c r="C14" s="5" t="inlineStr">
        <is>
          <t>Student</t>
        </is>
      </c>
      <c r="D14" s="5" t="inlineStr">
        <is>
          <t>Lesson data containing a link on a site the CSP does not allow.</t>
        </is>
      </c>
      <c r="E14" s="5" t="inlineStr">
        <is>
          <t>Falls back to the next source or the unavailable state.</t>
        </is>
      </c>
      <c r="F14" s="5" t="inlineStr">
        <is>
          <t>Code review</t>
        </is>
      </c>
      <c r="G14" s="5" t="inlineStr">
        <is>
          <t>Verified in code</t>
        </is>
      </c>
      <c r="H14" s="5" t="inlineStr">
        <is>
          <t>No such links exist in current data.</t>
        </is>
      </c>
      <c r="I14" s="5" t="inlineStr">
        <is>
          <t>src/lib/student/lesson-resources.ts</t>
        </is>
      </c>
    </row>
  </sheetData>
  <autoFilter ref="A1:I14"/>
  <conditionalFormatting sqref="G2:G200">
    <cfRule type="expression" priority="1" dxfId="0">
      <formula>$G2="Pass"</formula>
    </cfRule>
    <cfRule type="expression" priority="2" dxfId="1">
      <formula>$G2="Verified in code"</formula>
    </cfRule>
    <cfRule type="expression" priority="3" dxfId="2">
      <formula>$G2="Not tested"</formula>
    </cfRule>
    <cfRule type="expression" priority="4" dxfId="3">
      <formula>$G2="Known limitation"</formula>
    </cfRule>
  </conditionalFormatting>
  <dataValidations count="1">
    <dataValidation sqref="G2:G200" showDropDown="0" showInputMessage="0" showErrorMessage="0" allowBlank="1" type="list">
      <formula1>"Pass,Verified in code,Not tested,Known limitation"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13" customWidth="1" min="3" max="3"/>
    <col width="46" customWidth="1" min="4" max="4"/>
    <col width="40" customWidth="1" min="5" max="5"/>
    <col width="24" customWidth="1" min="6" max="6"/>
    <col width="17" customWidth="1" min="7" max="7"/>
    <col width="52" customWidth="1" min="8" max="8"/>
    <col width="38" customWidth="1" min="9" max="9"/>
  </cols>
  <sheetData>
    <row r="1">
      <c r="A1" s="3" t="inlineStr">
        <is>
          <t>ID</t>
        </is>
      </c>
      <c r="B1" s="3" t="inlineStr">
        <is>
          <t>Functionality</t>
        </is>
      </c>
      <c r="C1" s="3" t="inlineStr">
        <is>
          <t>Who uses it</t>
        </is>
      </c>
      <c r="D1" s="3" t="inlineStr">
        <is>
          <t>How to use / steps</t>
        </is>
      </c>
      <c r="E1" s="3" t="inlineStr">
        <is>
          <t>Expected result</t>
        </is>
      </c>
      <c r="F1" s="3" t="inlineStr">
        <is>
          <t>Test method</t>
        </is>
      </c>
      <c r="G1" s="3" t="inlineStr">
        <is>
          <t>Result</t>
        </is>
      </c>
      <c r="H1" s="3" t="inlineStr">
        <is>
          <t>Evidence / notes</t>
        </is>
      </c>
      <c r="I1" s="3" t="inlineStr">
        <is>
          <t>Key files</t>
        </is>
      </c>
    </row>
    <row r="2">
      <c r="A2" s="5" t="inlineStr">
        <is>
          <t>EV-01</t>
        </is>
      </c>
      <c r="B2" s="5" t="inlineStr">
        <is>
          <t>EduNotes from the existing Drive registry</t>
        </is>
      </c>
      <c r="C2" s="5" t="inlineStr">
        <is>
          <t>Student</t>
        </is>
      </c>
      <c r="D2" s="5" t="inlineStr">
        <is>
          <t>Open EduNotes for a Grade 1 lesson with a registered PDF.</t>
        </is>
      </c>
      <c r="E2" s="5" t="inlineStr">
        <is>
          <t>Metadata 200; PDF served as application/pdf.</t>
        </is>
      </c>
      <c r="F2" s="5" t="inlineStr">
        <is>
          <t>API call</t>
        </is>
      </c>
      <c r="G2" s="5" t="inlineStr">
        <is>
          <t>Pass</t>
        </is>
      </c>
      <c r="H2" s="5" t="inlineStr">
        <is>
          <t>counting-numbers-up-to-100: 18,764,667 bytes, starts with %PDF-.</t>
        </is>
      </c>
      <c r="I2" s="5" t="inlineStr">
        <is>
          <t>src/lib/student/edunotes.ts; src/app/api/student/edunotes/**</t>
        </is>
      </c>
    </row>
    <row r="3">
      <c r="A3" s="5" t="inlineStr">
        <is>
          <t>EV-02</t>
        </is>
      </c>
      <c r="B3" s="5" t="inlineStr">
        <is>
          <t>EduNotes link added in the Editor (Google Drive)</t>
        </is>
      </c>
      <c r="C3" s="5" t="inlineStr">
        <is>
          <t>Editor</t>
        </is>
      </c>
      <c r="D3" s="5" t="inlineStr">
        <is>
          <t>Paste the Drive 'Copy link' URL into the lesson's EduNotes field, tick Enabled, Save.</t>
        </is>
      </c>
      <c r="E3" s="5" t="inlineStr">
        <is>
          <t>Accepted formats: drive.google.com/file/d/&lt;ID&gt;/view, open?id=&lt;ID&gt;, uc?export=download&amp;id=&lt;ID&gt;. The book opens with that PDF.</t>
        </is>
      </c>
      <c r="F3" s="5" t="inlineStr">
        <is>
          <t>Code review</t>
        </is>
      </c>
      <c r="G3" s="5" t="inlineStr">
        <is>
          <t>Verified in code</t>
        </is>
      </c>
      <c r="H3" s="5" t="inlineStr">
        <is>
          <t>Not yet tested end-to-end with a new Drive link.</t>
        </is>
      </c>
      <c r="I3" s="5" t="inlineStr">
        <is>
          <t>src/lib/student/lesson-resources.ts</t>
        </is>
      </c>
    </row>
    <row r="4">
      <c r="A4" s="5" t="inlineStr">
        <is>
          <t>EV-03</t>
        </is>
      </c>
      <c r="B4" s="5" t="inlineStr">
        <is>
          <t>Drive file requirements</t>
        </is>
      </c>
      <c r="C4" s="5" t="inlineStr">
        <is>
          <t>Editor</t>
        </is>
      </c>
      <c r="D4" s="5" t="inlineStr">
        <is>
          <t>Before pasting a link, check the file.</t>
        </is>
      </c>
      <c r="E4" s="5" t="inlineStr">
        <is>
          <t>Must be a PDF, shared 'Anyone with the link – Viewer', one file per lesson, under ~100 MB.</t>
        </is>
      </c>
      <c r="F4" s="5" t="inlineStr">
        <is>
          <t>Guidance</t>
        </is>
      </c>
      <c r="G4" s="5" t="inlineStr">
        <is>
          <t>Known limitation</t>
        </is>
      </c>
      <c r="H4" s="5" t="inlineStr">
        <is>
          <t>Restricted files, Google Docs links and folder links will not open.</t>
        </is>
      </c>
      <c r="I4" s="5" t="inlineStr"/>
    </row>
    <row r="5">
      <c r="A5" s="5" t="inlineStr">
        <is>
          <t>EV-04</t>
        </is>
      </c>
      <c r="B5" s="5" t="inlineStr">
        <is>
          <t>EduNotes PDF is streamed</t>
        </is>
      </c>
      <c r="C5" s="5" t="inlineStr">
        <is>
          <t>Student</t>
        </is>
      </c>
      <c r="D5" s="5" t="inlineStr">
        <is>
          <t>Open a large EduNotes book.</t>
        </is>
      </c>
      <c r="E5" s="5" t="inlineStr">
        <is>
          <t>Bytes stream to the browser instead of being buffered; stays under serverless response limits.</t>
        </is>
      </c>
      <c r="F5" s="5" t="inlineStr">
        <is>
          <t>API call</t>
        </is>
      </c>
      <c r="G5" s="5" t="inlineStr">
        <is>
          <t>Pass</t>
        </is>
      </c>
      <c r="H5" s="5" t="inlineStr">
        <is>
          <t>First chunk 7.7 s, complete 13.0 s, full 18.7 MB received.</t>
        </is>
      </c>
      <c r="I5" s="5" t="inlineStr">
        <is>
          <t>src/app/api/student/edunotes/content/route.ts</t>
        </is>
      </c>
    </row>
    <row r="6">
      <c r="A6" s="5" t="inlineStr">
        <is>
          <t>EV-05</t>
        </is>
      </c>
      <c r="B6" s="5" t="inlineStr">
        <is>
          <t>EduNotes fetch retries once on connection failure</t>
        </is>
      </c>
      <c r="C6" s="5" t="inlineStr">
        <is>
          <t>Student</t>
        </is>
      </c>
      <c r="D6" s="5" t="inlineStr">
        <is>
          <t>The Drive connection drops before the response starts.</t>
        </is>
      </c>
      <c r="E6" s="5" t="inlineStr">
        <is>
          <t>One automatic retry before returning an error.</t>
        </is>
      </c>
      <c r="F6" s="5" t="inlineStr">
        <is>
          <t>Code review</t>
        </is>
      </c>
      <c r="G6" s="5" t="inlineStr">
        <is>
          <t>Verified in code</t>
        </is>
      </c>
      <c r="H6" s="5" t="inlineStr">
        <is>
          <t>Failure not reproduced on demand.</t>
        </is>
      </c>
      <c r="I6" s="5" t="inlineStr">
        <is>
          <t>src/app/api/student/edunotes/content/route.ts</t>
        </is>
      </c>
    </row>
    <row r="7">
      <c r="A7" s="5" t="inlineStr">
        <is>
          <t>EV-06</t>
        </is>
      </c>
      <c r="B7" s="5" t="inlineStr">
        <is>
          <t>Standalone EduNotes page still works</t>
        </is>
      </c>
      <c r="C7" s="5" t="inlineStr">
        <is>
          <t>Student</t>
        </is>
      </c>
      <c r="D7" s="5" t="inlineStr">
        <is>
          <t>Dashboard → EduNotes card (/student/lesson/edunotes?lessonId=…).</t>
        </is>
      </c>
      <c r="E7" s="5" t="inlineStr">
        <is>
          <t>Book opens and pages render.</t>
        </is>
      </c>
      <c r="F7" s="5" t="inlineStr">
        <is>
          <t>Browser (headless Chrome)</t>
        </is>
      </c>
      <c r="G7" s="5" t="inlineStr">
        <is>
          <t>Pass</t>
        </is>
      </c>
      <c r="H7" s="5" t="inlineStr">
        <is>
          <t>2 PDF canvases rendered on the retry run.</t>
        </is>
      </c>
      <c r="I7" s="5" t="inlineStr">
        <is>
          <t>src/app/student/lesson/edunotes/page.tsx</t>
        </is>
      </c>
    </row>
    <row r="8">
      <c r="A8" s="5" t="inlineStr">
        <is>
          <t>EV-07</t>
        </is>
      </c>
      <c r="B8" s="5" t="inlineStr">
        <is>
          <t>Standalone Video page uses the same lesson data</t>
        </is>
      </c>
      <c r="C8" s="5" t="inlineStr">
        <is>
          <t>Student</t>
        </is>
      </c>
      <c r="D8" s="5" t="inlineStr">
        <is>
          <t>Dashboard → Video card (/student/lesson/video?lessonId=…).</t>
        </is>
      </c>
      <c r="E8" s="5" t="inlineStr">
        <is>
          <t>Plays the Editor-saved video; one request with the profile grade.</t>
        </is>
      </c>
      <c r="F8" s="5" t="inlineStr">
        <is>
          <t>API call + browser</t>
        </is>
      </c>
      <c r="G8" s="5" t="inlineStr">
        <is>
          <t>Pass</t>
        </is>
      </c>
      <c r="H8" s="5" t="inlineStr">
        <is>
          <t>/api/student/videos returned 6hyYVLv8hzY; single request grade=grade1.</t>
        </is>
      </c>
      <c r="I8" s="5" t="inlineStr">
        <is>
          <t>src/app/api/student/videos/route.ts; src/app/student/lesson/video/page.tsx</t>
        </is>
      </c>
    </row>
    <row r="9">
      <c r="A9" s="5" t="inlineStr">
        <is>
          <t>EV-08</t>
        </is>
      </c>
      <c r="B9" s="5" t="inlineStr">
        <is>
          <t>YouTube link formats</t>
        </is>
      </c>
      <c r="C9" s="5" t="inlineStr">
        <is>
          <t>Editor</t>
        </is>
      </c>
      <c r="D9" s="5" t="inlineStr">
        <is>
          <t>Use a watch, youtu.be, shorts or embed link in the Video field.</t>
        </is>
      </c>
      <c r="E9" s="5" t="inlineStr">
        <is>
          <t>Played through youtube-nocookie.com in the existing player.</t>
        </is>
      </c>
      <c r="F9" s="5" t="inlineStr">
        <is>
          <t>Browser + validation script</t>
        </is>
      </c>
      <c r="G9" s="5" t="inlineStr">
        <is>
          <t>Pass</t>
        </is>
      </c>
      <c r="H9" s="5" t="inlineStr">
        <is>
          <t>watch link played in the browser; youtu.be accepted by validation.</t>
        </is>
      </c>
      <c r="I9" s="5" t="inlineStr">
        <is>
          <t>src/lib/student/lesson-videos.ts</t>
        </is>
      </c>
    </row>
    <row r="10">
      <c r="A10" s="5" t="inlineStr">
        <is>
          <t>EV-09</t>
        </is>
      </c>
      <c r="B10" s="5" t="inlineStr">
        <is>
          <t>Non-YouTube video on an allowed site</t>
        </is>
      </c>
      <c r="C10" s="5" t="inlineStr">
        <is>
          <t>Editor</t>
        </is>
      </c>
      <c r="D10" s="5" t="inlineStr">
        <is>
          <t>Video field with e.g. a Google Drive preview link.</t>
        </is>
      </c>
      <c r="E10" s="5" t="inlineStr">
        <is>
          <t>Framed in the video area.</t>
        </is>
      </c>
      <c r="F10" s="5" t="inlineStr">
        <is>
          <t>Code review</t>
        </is>
      </c>
      <c r="G10" s="5" t="inlineStr">
        <is>
          <t>Verified in code</t>
        </is>
      </c>
      <c r="H10" s="5" t="inlineStr">
        <is>
          <t>Not browser-tested.</t>
        </is>
      </c>
      <c r="I10" s="5" t="inlineStr">
        <is>
          <t>src/app/student/lesson/[id]/page.tsx</t>
        </is>
      </c>
    </row>
    <row r="11">
      <c r="A11" s="5" t="inlineStr">
        <is>
          <t>EV-10</t>
        </is>
      </c>
      <c r="B11" s="5" t="inlineStr">
        <is>
          <t>Google Drive download speed</t>
        </is>
      </c>
      <c r="C11" s="5" t="inlineStr">
        <is>
          <t>Student</t>
        </is>
      </c>
      <c r="D11" s="5" t="inlineStr">
        <is>
          <t>Open a large EduNotes PDF.</t>
        </is>
      </c>
      <c r="E11" s="5" t="inlineStr">
        <is>
          <t>The book opens.</t>
        </is>
      </c>
      <c r="F11" s="5" t="inlineStr">
        <is>
          <t>Observation</t>
        </is>
      </c>
      <c r="G11" s="5" t="inlineStr">
        <is>
          <t>Known limitation</t>
        </is>
      </c>
      <c r="H11" s="5" t="inlineStr">
        <is>
          <t>~8 s before the first bytes for 18.7 MB; one ECONNRESET seen earlier (before the retry was added).</t>
        </is>
      </c>
      <c r="I11" s="5" t="inlineStr">
        <is>
          <t>src/app/api/student/edunotes/content/route.ts</t>
        </is>
      </c>
    </row>
  </sheetData>
  <autoFilter ref="A1:I11"/>
  <conditionalFormatting sqref="G2:G200">
    <cfRule type="expression" priority="1" dxfId="0">
      <formula>$G2="Pass"</formula>
    </cfRule>
    <cfRule type="expression" priority="2" dxfId="1">
      <formula>$G2="Verified in code"</formula>
    </cfRule>
    <cfRule type="expression" priority="3" dxfId="2">
      <formula>$G2="Not tested"</formula>
    </cfRule>
    <cfRule type="expression" priority="4" dxfId="3">
      <formula>$G2="Known limitation"</formula>
    </cfRule>
  </conditionalFormatting>
  <dataValidations count="1">
    <dataValidation sqref="G2:G200" showDropDown="0" showInputMessage="0" showErrorMessage="0" allowBlank="1" type="list">
      <formula1>"Pass,Verified in code,Not tested,Known limitation"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13" customWidth="1" min="3" max="3"/>
    <col width="46" customWidth="1" min="4" max="4"/>
    <col width="40" customWidth="1" min="5" max="5"/>
    <col width="24" customWidth="1" min="6" max="6"/>
    <col width="17" customWidth="1" min="7" max="7"/>
    <col width="52" customWidth="1" min="8" max="8"/>
    <col width="38" customWidth="1" min="9" max="9"/>
  </cols>
  <sheetData>
    <row r="1">
      <c r="A1" s="3" t="inlineStr">
        <is>
          <t>ID</t>
        </is>
      </c>
      <c r="B1" s="3" t="inlineStr">
        <is>
          <t>Functionality</t>
        </is>
      </c>
      <c r="C1" s="3" t="inlineStr">
        <is>
          <t>Who uses it</t>
        </is>
      </c>
      <c r="D1" s="3" t="inlineStr">
        <is>
          <t>How to use / steps</t>
        </is>
      </c>
      <c r="E1" s="3" t="inlineStr">
        <is>
          <t>Expected result</t>
        </is>
      </c>
      <c r="F1" s="3" t="inlineStr">
        <is>
          <t>Test method</t>
        </is>
      </c>
      <c r="G1" s="3" t="inlineStr">
        <is>
          <t>Result</t>
        </is>
      </c>
      <c r="H1" s="3" t="inlineStr">
        <is>
          <t>Evidence / notes</t>
        </is>
      </c>
      <c r="I1" s="3" t="inlineStr">
        <is>
          <t>Key files</t>
        </is>
      </c>
    </row>
    <row r="2">
      <c r="A2" s="5" t="inlineStr">
        <is>
          <t>CG-01</t>
        </is>
      </c>
      <c r="B2" s="5" t="inlineStr">
        <is>
          <t>Read a grade's curriculum</t>
        </is>
      </c>
      <c r="C2" s="5" t="inlineStr">
        <is>
          <t>Editor</t>
        </is>
      </c>
      <c r="D2" s="5" t="inlineStr">
        <is>
          <t>Editor → Curriculum → pick a grade.</t>
        </is>
      </c>
      <c r="E2" s="5" t="inlineStr">
        <is>
          <t>curriculum.json loads; an unknown grade returns 404.</t>
        </is>
      </c>
      <c r="F2" s="5" t="inlineStr">
        <is>
          <t>API call</t>
        </is>
      </c>
      <c r="G2" s="5" t="inlineStr">
        <is>
          <t>Pass</t>
        </is>
      </c>
      <c r="H2" s="5" t="inlineStr">
        <is>
          <t>grade1 → 200 (7 chapters); grade42 → 404.</t>
        </is>
      </c>
      <c r="I2" s="5" t="inlineStr">
        <is>
          <t>src/app/api/editor/curriculum/[gradeId]/route.ts</t>
        </is>
      </c>
    </row>
    <row r="3">
      <c r="A3" s="5" t="inlineStr">
        <is>
          <t>CG-02</t>
        </is>
      </c>
      <c r="B3" s="5" t="inlineStr">
        <is>
          <t>Grades list with lesson counts</t>
        </is>
      </c>
      <c r="C3" s="5" t="inlineStr">
        <is>
          <t>Editor</t>
        </is>
      </c>
      <c r="D3" s="5" t="inlineStr">
        <is>
          <t>Editor → Grades.</t>
        </is>
      </c>
      <c r="E3" s="5" t="inlineStr">
        <is>
          <t>All grades listed with lesson counts and a curriculum flag.</t>
        </is>
      </c>
      <c r="F3" s="5" t="inlineStr">
        <is>
          <t>API call</t>
        </is>
      </c>
      <c r="G3" s="5" t="inlineStr">
        <is>
          <t>Pass</t>
        </is>
      </c>
      <c r="H3" s="5" t="inlineStr">
        <is>
          <t>12 grades; grade1: 7 lessons, grade2: 1.</t>
        </is>
      </c>
      <c r="I3" s="5" t="inlineStr">
        <is>
          <t>src/app/api/editor/grades/route.ts</t>
        </is>
      </c>
    </row>
    <row r="4">
      <c r="A4" s="5" t="inlineStr">
        <is>
          <t>CG-03</t>
        </is>
      </c>
      <c r="B4" s="5" t="inlineStr">
        <is>
          <t>Save / update curriculum on a read-only server</t>
        </is>
      </c>
      <c r="C4" s="5" t="inlineStr">
        <is>
          <t>Editor</t>
        </is>
      </c>
      <c r="D4" s="5" t="inlineStr">
        <is>
          <t>Edit curriculum JSON on the deployed site → Save.</t>
        </is>
      </c>
      <c r="E4" s="5" t="inlineStr">
        <is>
          <t>Saved to the database; reads return the saved version.</t>
        </is>
      </c>
      <c r="F4" s="5" t="inlineStr">
        <is>
          <t>Read-only simulation script</t>
        </is>
      </c>
      <c r="G4" s="5" t="inlineStr">
        <is>
          <t>Pass</t>
        </is>
      </c>
      <c r="H4" s="5" t="inlineStr">
        <is>
          <t>Updated gradeLabel read back as 'Grade 99 Test'.</t>
        </is>
      </c>
      <c r="I4" s="5" t="inlineStr">
        <is>
          <t>src/lib/content/curriculum-store.ts</t>
        </is>
      </c>
    </row>
    <row r="5">
      <c r="A5" s="5" t="inlineStr">
        <is>
          <t>CG-04</t>
        </is>
      </c>
      <c r="B5" s="5" t="inlineStr">
        <is>
          <t>Create a grade on a read-only server</t>
        </is>
      </c>
      <c r="C5" s="5" t="inlineStr">
        <is>
          <t>Editor</t>
        </is>
      </c>
      <c r="D5" s="5" t="inlineStr">
        <is>
          <t>Editor → Grades → create grade.</t>
        </is>
      </c>
      <c r="E5" s="5" t="inlineStr">
        <is>
          <t>Grade created in the database and listed.</t>
        </is>
      </c>
      <c r="F5" s="5" t="inlineStr">
        <is>
          <t>Read-only simulation script</t>
        </is>
      </c>
      <c r="G5" s="5" t="inlineStr">
        <is>
          <t>Pass</t>
        </is>
      </c>
      <c r="H5" s="5" t="inlineStr">
        <is>
          <t>grade99 created (storedIn database), no files written.</t>
        </is>
      </c>
      <c r="I5" s="5" t="inlineStr">
        <is>
          <t>src/app/api/editor/grades/route.ts</t>
        </is>
      </c>
    </row>
    <row r="6">
      <c r="A6" s="5" t="inlineStr">
        <is>
          <t>CG-05</t>
        </is>
      </c>
      <c r="B6" s="5" t="inlineStr">
        <is>
          <t>Delete a grade on a read-only server</t>
        </is>
      </c>
      <c r="C6" s="5" t="inlineStr">
        <is>
          <t>Editor</t>
        </is>
      </c>
      <c r="D6" s="5" t="inlineStr">
        <is>
          <t>Editor → Grades → delete grade.</t>
        </is>
      </c>
      <c r="E6" s="5" t="inlineStr">
        <is>
          <t>Grade hidden by tombstones; student lesson data for it disappears; content stays recoverable.</t>
        </is>
      </c>
      <c r="F6" s="5" t="inlineStr">
        <is>
          <t>Read-only simulation script</t>
        </is>
      </c>
      <c r="G6" s="5" t="inlineStr">
        <is>
          <t>Pass</t>
        </is>
      </c>
      <c r="H6" s="5" t="inlineStr">
        <is>
          <t>grade99 exists → false; student resolver found:false.</t>
        </is>
      </c>
      <c r="I6" s="5" t="inlineStr">
        <is>
          <t>src/app/api/editor/grades/[gradeId]/route.ts</t>
        </is>
      </c>
    </row>
    <row r="7">
      <c r="A7" s="5" t="inlineStr">
        <is>
          <t>CG-06</t>
        </is>
      </c>
      <c r="B7" s="5" t="inlineStr">
        <is>
          <t>Built-in grades still readable</t>
        </is>
      </c>
      <c r="C7" s="5" t="inlineStr">
        <is>
          <t>Editor / Student</t>
        </is>
      </c>
      <c r="D7" s="5" t="inlineStr">
        <is>
          <t>Open any shipped grade on a read-only server.</t>
        </is>
      </c>
      <c r="E7" s="5" t="inlineStr">
        <is>
          <t>Shipped files are used when no database copy exists.</t>
        </is>
      </c>
      <c r="F7" s="5" t="inlineStr">
        <is>
          <t>Read-only simulation script</t>
        </is>
      </c>
      <c r="G7" s="5" t="inlineStr">
        <is>
          <t>Pass</t>
        </is>
      </c>
      <c r="H7" s="5" t="inlineStr">
        <is>
          <t>grade1 exists (shipped file).</t>
        </is>
      </c>
      <c r="I7" s="5" t="inlineStr">
        <is>
          <t>src/lib/content/curriculum-store.ts</t>
        </is>
      </c>
    </row>
    <row r="8">
      <c r="A8" s="5" t="inlineStr">
        <is>
          <t>CG-07</t>
        </is>
      </c>
      <c r="B8" s="5" t="inlineStr">
        <is>
          <t>Save / create / delete on a local writable server</t>
        </is>
      </c>
      <c r="C8" s="5" t="inlineStr">
        <is>
          <t>Editor</t>
        </is>
      </c>
      <c r="D8" s="5" t="inlineStr">
        <is>
          <t>Use the Curriculum and Grades editors locally.</t>
        </is>
      </c>
      <c r="E8" s="5" t="inlineStr">
        <is>
          <t>Files written/removed and mirrored to the database, as before.</t>
        </is>
      </c>
      <c r="F8" s="5" t="inlineStr">
        <is>
          <t>Code review</t>
        </is>
      </c>
      <c r="G8" s="5" t="inlineStr">
        <is>
          <t>Verified in code</t>
        </is>
      </c>
      <c r="H8" s="5" t="inlineStr">
        <is>
          <t>Writes not executed locally, to avoid changing real data.</t>
        </is>
      </c>
      <c r="I8" s="5" t="inlineStr">
        <is>
          <t>src/lib/content/curriculum-store.ts</t>
        </is>
      </c>
    </row>
    <row r="9">
      <c r="A9" s="5" t="inlineStr">
        <is>
          <t>CG-08</t>
        </is>
      </c>
      <c r="B9" s="5" t="inlineStr">
        <is>
          <t>Curriculum JSON shipped with deployed routes</t>
        </is>
      </c>
      <c r="C9" s="5" t="inlineStr">
        <is>
          <t>Ops</t>
        </is>
      </c>
      <c r="D9" s="5" t="inlineStr">
        <is>
          <t>Deploy to Vercel.</t>
        </is>
      </c>
      <c r="E9" s="5" t="inlineStr">
        <is>
          <t>Routes that read src/data/grades at runtime include the JSON files.</t>
        </is>
      </c>
      <c r="F9" s="5" t="inlineStr">
        <is>
          <t>Code review</t>
        </is>
      </c>
      <c r="G9" s="5" t="inlineStr">
        <is>
          <t>Verified in code</t>
        </is>
      </c>
      <c r="H9" s="5" t="inlineStr">
        <is>
          <t>outputFileTracingIncludes added. Not deployed yet.</t>
        </is>
      </c>
      <c r="I9" s="5" t="inlineStr">
        <is>
          <t>next.config.ts</t>
        </is>
      </c>
    </row>
  </sheetData>
  <autoFilter ref="A1:I9"/>
  <conditionalFormatting sqref="G2:G200">
    <cfRule type="expression" priority="1" dxfId="0">
      <formula>$G2="Pass"</formula>
    </cfRule>
    <cfRule type="expression" priority="2" dxfId="1">
      <formula>$G2="Verified in code"</formula>
    </cfRule>
    <cfRule type="expression" priority="3" dxfId="2">
      <formula>$G2="Not tested"</formula>
    </cfRule>
    <cfRule type="expression" priority="4" dxfId="3">
      <formula>$G2="Known limitation"</formula>
    </cfRule>
  </conditionalFormatting>
  <dataValidations count="1">
    <dataValidation sqref="G2:G200" showDropDown="0" showInputMessage="0" showErrorMessage="0" allowBlank="1" type="list">
      <formula1>"Pass,Verified in code,Not tested,Known limitation"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3" customWidth="1" min="4" max="4"/>
    <col width="11" customWidth="1" min="5" max="5"/>
    <col width="12" customWidth="1" min="6" max="6"/>
    <col width="13" customWidth="1" min="7" max="7"/>
    <col width="62" customWidth="1" min="8" max="8"/>
  </cols>
  <sheetData>
    <row r="1">
      <c r="A1" s="3" t="inlineStr">
        <is>
          <t>Grade</t>
        </is>
      </c>
      <c r="B1" s="3" t="inlineStr">
        <is>
          <t>Curriculum topics</t>
        </is>
      </c>
      <c r="C1" s="3" t="inlineStr">
        <is>
          <t>Resolved OK (HTTP 200)</t>
        </is>
      </c>
      <c r="D1" s="3" t="inlineStr">
        <is>
          <t>With Architecture</t>
        </is>
      </c>
      <c r="E1" s="3" t="inlineStr">
        <is>
          <t>With Video</t>
        </is>
      </c>
      <c r="F1" s="3" t="inlineStr">
        <is>
          <t>With EduNotes</t>
        </is>
      </c>
      <c r="G1" s="3" t="inlineStr">
        <is>
          <t>Nothing configured</t>
        </is>
      </c>
      <c r="H1" s="3" t="inlineStr">
        <is>
          <t>Notes</t>
        </is>
      </c>
    </row>
    <row r="2">
      <c r="A2" s="5" t="inlineStr">
        <is>
          <t>Grade 1</t>
        </is>
      </c>
      <c r="B2" s="5" t="n">
        <v>31</v>
      </c>
      <c r="C2" s="5" t="n">
        <v>31</v>
      </c>
      <c r="D2" s="5" t="n">
        <v>16</v>
      </c>
      <c r="E2" s="5" t="n">
        <v>1</v>
      </c>
      <c r="F2" s="5" t="n">
        <v>6</v>
      </c>
      <c r="G2" s="5" t="n">
        <v>13</v>
      </c>
      <c r="H2" s="5" t="inlineStr">
        <is>
          <t>Video = the lesson saved in the Editor test. EduNotes from the Drive registry (6 lessons).</t>
        </is>
      </c>
    </row>
    <row r="3">
      <c r="A3" s="5" t="inlineStr">
        <is>
          <t>Grade 2</t>
        </is>
      </c>
      <c r="B3" s="5" t="n">
        <v>40</v>
      </c>
      <c r="C3" s="5" t="n">
        <v>40</v>
      </c>
      <c r="D3" s="5" t="n">
        <v>40</v>
      </c>
      <c r="E3" s="5" t="n">
        <v>0</v>
      </c>
      <c r="F3" s="5" t="n">
        <v>0</v>
      </c>
      <c r="G3" s="5" t="n">
        <v>0</v>
      </c>
      <c r="H3" s="5" t="inlineStr">
        <is>
          <t>Grade 2 lesson verified in the browser.</t>
        </is>
      </c>
    </row>
    <row r="4">
      <c r="A4" s="5" t="inlineStr">
        <is>
          <t>Grade 3</t>
        </is>
      </c>
      <c r="B4" s="5" t="n">
        <v>55</v>
      </c>
      <c r="C4" s="5" t="n">
        <v>55</v>
      </c>
      <c r="D4" s="5" t="n">
        <v>25</v>
      </c>
      <c r="E4" s="5" t="n">
        <v>0</v>
      </c>
      <c r="F4" s="5" t="n">
        <v>0</v>
      </c>
      <c r="G4" s="5" t="n">
        <v>30</v>
      </c>
      <c r="H4" s="5" t="inlineStr"/>
    </row>
    <row r="5">
      <c r="A5" s="5" t="inlineStr">
        <is>
          <t>Grade 4</t>
        </is>
      </c>
      <c r="B5" s="5" t="n">
        <v>34</v>
      </c>
      <c r="C5" s="5" t="n">
        <v>34</v>
      </c>
      <c r="D5" s="5" t="n">
        <v>31</v>
      </c>
      <c r="E5" s="5" t="n">
        <v>0</v>
      </c>
      <c r="F5" s="5" t="n">
        <v>0</v>
      </c>
      <c r="G5" s="5" t="n">
        <v>3</v>
      </c>
      <c r="H5" s="5" t="inlineStr"/>
    </row>
    <row r="6">
      <c r="A6" s="5" t="inlineStr">
        <is>
          <t>Grade 5</t>
        </is>
      </c>
      <c r="B6" s="5" t="n">
        <v>56</v>
      </c>
      <c r="C6" s="5" t="n">
        <v>56</v>
      </c>
      <c r="D6" s="5" t="n">
        <v>56</v>
      </c>
      <c r="E6" s="5" t="n">
        <v>0</v>
      </c>
      <c r="F6" s="5" t="n">
        <v>0</v>
      </c>
      <c r="G6" s="5" t="n">
        <v>0</v>
      </c>
      <c r="H6" s="5" t="inlineStr"/>
    </row>
    <row r="7">
      <c r="A7" s="5" t="inlineStr">
        <is>
          <t>Grade 6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inlineStr">
        <is>
          <t>Curriculum has no chapters yet.</t>
        </is>
      </c>
    </row>
    <row r="8">
      <c r="A8" s="5" t="inlineStr">
        <is>
          <t>Grade 7</t>
        </is>
      </c>
      <c r="B8" s="5" t="n">
        <v>2</v>
      </c>
      <c r="C8" s="5" t="n">
        <v>2</v>
      </c>
      <c r="D8" s="5" t="n">
        <v>2</v>
      </c>
      <c r="E8" s="5" t="n">
        <v>0</v>
      </c>
      <c r="F8" s="5" t="n">
        <v>0</v>
      </c>
      <c r="G8" s="5" t="n">
        <v>0</v>
      </c>
      <c r="H8" s="5" t="inlineStr"/>
    </row>
    <row r="9">
      <c r="A9" s="5" t="inlineStr">
        <is>
          <t>Grade 8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inlineStr">
        <is>
          <t>Curriculum has no chapters yet.</t>
        </is>
      </c>
    </row>
    <row r="10">
      <c r="A10" s="5" t="inlineStr">
        <is>
          <t>Grade 9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inlineStr">
        <is>
          <t>Curriculum has no chapters yet.</t>
        </is>
      </c>
    </row>
    <row r="11">
      <c r="A11" s="5" t="inlineStr">
        <is>
          <t>Grade 10</t>
        </is>
      </c>
      <c r="B11" s="5" t="n">
        <v>1</v>
      </c>
      <c r="C11" s="5" t="n">
        <v>1</v>
      </c>
      <c r="D11" s="5" t="n">
        <v>1</v>
      </c>
      <c r="E11" s="5" t="n">
        <v>0</v>
      </c>
      <c r="F11" s="5" t="n">
        <v>0</v>
      </c>
      <c r="G11" s="5" t="n">
        <v>0</v>
      </c>
      <c r="H11" s="5" t="inlineStr"/>
    </row>
    <row r="12">
      <c r="A12" s="5" t="inlineStr">
        <is>
          <t>Grade 11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inlineStr">
        <is>
          <t>Curriculum has no chapters yet.</t>
        </is>
      </c>
    </row>
    <row r="13">
      <c r="A13" s="5" t="inlineStr">
        <is>
          <t>Grade 12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inlineStr">
        <is>
          <t>Curriculum has no chapters yet.</t>
        </is>
      </c>
    </row>
    <row r="14">
      <c r="A14" s="8" t="inlineStr">
        <is>
          <t>Total</t>
        </is>
      </c>
      <c r="B14" s="6">
        <f>SUM(B2:B13)</f>
        <v/>
      </c>
      <c r="C14" s="6">
        <f>SUM(C2:C13)</f>
        <v/>
      </c>
      <c r="D14" s="6">
        <f>SUM(D2:D13)</f>
        <v/>
      </c>
      <c r="E14" s="6">
        <f>SUM(E2:E13)</f>
        <v/>
      </c>
      <c r="F14" s="6">
        <f>SUM(F2:F13)</f>
        <v/>
      </c>
      <c r="G14" s="6">
        <f>SUM(G2:G13)</f>
        <v/>
      </c>
    </row>
    <row r="16">
      <c r="A16" s="2" t="inlineStr">
        <is>
          <t>Every curriculum topic was requested through /api/student/lesson-resources on 15 Sep 2026 (local data); no request failed.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6" customWidth="1" min="2" max="2"/>
    <col width="46" customWidth="1" min="3" max="3"/>
    <col width="48" customWidth="1" min="4" max="4"/>
    <col width="10" customWidth="1" min="5" max="5"/>
  </cols>
  <sheetData>
    <row r="1">
      <c r="A1" s="3" t="inlineStr">
        <is>
          <t>ID</t>
        </is>
      </c>
      <c r="B1" s="3" t="inlineStr">
        <is>
          <t>Issue</t>
        </is>
      </c>
      <c r="C1" s="3" t="inlineStr">
        <is>
          <t>Impact</t>
        </is>
      </c>
      <c r="D1" s="3" t="inlineStr">
        <is>
          <t>Suggested next step</t>
        </is>
      </c>
      <c r="E1" s="3" t="inlineStr">
        <is>
          <t>Status</t>
        </is>
      </c>
    </row>
    <row r="2">
      <c r="A2" s="5" t="inlineStr">
        <is>
          <t>KI-01</t>
        </is>
      </c>
      <c r="B2" s="5" t="inlineStr">
        <is>
          <t>Changes not yet tested on the Vercel deployment</t>
        </is>
      </c>
      <c r="C2" s="5" t="inlineStr">
        <is>
          <t>Read-only (database) storage was only simulated locally.</t>
        </is>
      </c>
      <c r="D2" s="5" t="inlineStr">
        <is>
          <t>Deploy, then save a lesson, curriculum and grade on the live site and open the lesson as a student.</t>
        </is>
      </c>
      <c r="E2" s="5" t="inlineStr">
        <is>
          <t>Open</t>
        </is>
      </c>
    </row>
    <row r="3">
      <c r="A3" s="5" t="inlineStr">
        <is>
          <t>KI-02</t>
        </is>
      </c>
      <c r="B3" s="5" t="inlineStr">
        <is>
          <t>Student sidebar/dashboard use the curriculum bundled at build time</t>
        </is>
      </c>
      <c r="C3" s="5" t="inlineStr">
        <is>
          <t>Curriculum edits saved on Vercel appear in the sidebar/dashboard only after restoring to files and redeploying (the lesson page itself is live).</t>
        </is>
      </c>
      <c r="D3" s="5" t="inlineStr">
        <is>
          <t>Load the curriculum for StudentContext from an API instead of a build-time import.</t>
        </is>
      </c>
      <c r="E3" s="5" t="inlineStr">
        <is>
          <t>Open</t>
        </is>
      </c>
    </row>
    <row r="4">
      <c r="A4" s="5" t="inlineStr">
        <is>
          <t>KI-03</t>
        </is>
      </c>
      <c r="B4" s="5" t="inlineStr">
        <is>
          <t>Only *.vercel.app, YouTube and Google Drive can be framed</t>
        </is>
      </c>
      <c r="C4" s="5" t="inlineStr">
        <is>
          <t>Architecture/Video links on other sites are rejected by the Editor.</t>
        </is>
      </c>
      <c r="D4" s="5" t="inlineStr">
        <is>
          <t>If another site is needed, add it to frame-src in next.config.ts and EMBEDDABLE_HOSTS in lesson-modules.ts.</t>
        </is>
      </c>
      <c r="E4" s="5" t="inlineStr">
        <is>
          <t>Open</t>
        </is>
      </c>
    </row>
    <row r="5">
      <c r="A5" s="5" t="inlineStr">
        <is>
          <t>KI-04</t>
        </is>
      </c>
      <c r="B5" s="5" t="inlineStr">
        <is>
          <t>Google Drive EduNotes downloads are slow</t>
        </is>
      </c>
      <c r="C5" s="5" t="inlineStr">
        <is>
          <t>~8 s before the first bytes for an 18.7 MB PDF; connections occasionally reset.</t>
        </is>
      </c>
      <c r="D5" s="5" t="inlineStr">
        <is>
          <t>Host the PDFs on faster storage or cache them server-side.</t>
        </is>
      </c>
      <c r="E5" s="5" t="inlineStr">
        <is>
          <t>Open</t>
        </is>
      </c>
    </row>
    <row r="6">
      <c r="A6" s="5" t="inlineStr">
        <is>
          <t>KI-05</t>
        </is>
      </c>
      <c r="B6" s="5" t="inlineStr">
        <is>
          <t>Grade 1 counting-up-to-100.json holds the test-saved URLs</t>
        </is>
      </c>
      <c r="C6" s="5" t="inlineStr">
        <is>
          <t>Architecture and Video URLs from the screenshot were saved during testing; file indentation changed to 2 spaces.</t>
        </is>
      </c>
      <c r="D6" s="5" t="inlineStr">
        <is>
          <t>Keep if intended, or revert the file.</t>
        </is>
      </c>
      <c r="E6" s="5" t="inlineStr">
        <is>
          <t>Open</t>
        </is>
      </c>
    </row>
    <row r="7">
      <c r="A7" s="5" t="inlineStr">
        <is>
          <t>KI-06</t>
        </is>
      </c>
      <c r="B7" s="5" t="inlineStr">
        <is>
          <t>Two lint errors predate these changes</t>
        </is>
      </c>
      <c r="C7" s="5" t="inlineStr">
        <is>
          <t>set-state-in-effect in student/lesson/edunotes/page.tsx and in StudentContext's localStorage effect.</t>
        </is>
      </c>
      <c r="D7" s="5" t="inlineStr">
        <is>
          <t>Refactor those effects when convenient.</t>
        </is>
      </c>
      <c r="E7" s="5" t="inlineStr">
        <is>
          <t>Open</t>
        </is>
      </c>
    </row>
    <row r="8">
      <c r="A8" s="5" t="inlineStr">
        <is>
          <t>KI-07</t>
        </is>
      </c>
      <c r="B8" s="5" t="inlineStr">
        <is>
          <t>Admin Users &amp; Roles page not browser-tested</t>
        </is>
      </c>
      <c r="C8" s="5" t="inlineStr">
        <is>
          <t>Type-checked and linted only.</t>
        </is>
      </c>
      <c r="D8" s="5" t="inlineStr">
        <is>
          <t>Click through list, filters, role change, approve, deactivate/restore, delete and create.</t>
        </is>
      </c>
      <c r="E8" s="5" t="inlineStr">
        <is>
          <t>Open</t>
        </is>
      </c>
    </row>
    <row r="9">
      <c r="A9" s="5" t="inlineStr">
        <is>
          <t>KI-08</t>
        </is>
      </c>
      <c r="B9" s="5" t="inlineStr">
        <is>
          <t>'Add Student' / 'Invite Teacher' use the public sign-up endpoint</t>
        </is>
      </c>
      <c r="C9" s="5" t="inlineStr">
        <is>
          <t>With email verification off, sign-up signs in as the new account — likely logs the admin out.</t>
        </is>
      </c>
      <c r="D9" s="5" t="inlineStr">
        <is>
          <t>Switch those pages to POST /api/admin/users.</t>
        </is>
      </c>
      <c r="E9" s="5" t="inlineStr">
        <is>
          <t>Open</t>
        </is>
      </c>
    </row>
    <row r="10">
      <c r="A10" s="5" t="inlineStr">
        <is>
          <t>KI-09</t>
        </is>
      </c>
      <c r="B10" s="5" t="inlineStr">
        <is>
          <t>Grades 3–12 have no lesson files</t>
        </is>
      </c>
      <c r="C10" s="5" t="inlineStr">
        <is>
          <t>Editor links (including EduNotes) can only be added after creating the lesson in the Editor.</t>
        </is>
      </c>
      <c r="D10" s="5" t="inlineStr">
        <is>
          <t>Create lessons with the same ID or title as the curriculum topic.</t>
        </is>
      </c>
      <c r="E10" s="5" t="inlineStr">
        <is>
          <t>Open</t>
        </is>
      </c>
    </row>
    <row r="11">
      <c r="A11" s="5" t="inlineStr">
        <is>
          <t>KI-10</t>
        </is>
      </c>
      <c r="B11" s="5" t="inlineStr">
        <is>
          <t>Grades 6, 8, 9, 11 and 12 curricula are empty</t>
        </is>
      </c>
      <c r="C11" s="5" t="inlineStr">
        <is>
          <t>No topics to show students.</t>
        </is>
      </c>
      <c r="D11" s="5" t="inlineStr">
        <is>
          <t>Add chapters/topics in the Curriculum editor.</t>
        </is>
      </c>
      <c r="E11" s="5" t="inlineStr">
        <is>
          <t>Open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2026-09-15T12:01:40Z</dcterms:created>
  <dcterms:modified xsi:type="dcterms:W3CDTF">2026-09-15T12:01:40Z</dcterms:modified>
</cp:coreProperties>
</file>